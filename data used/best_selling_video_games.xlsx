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shish\Downloads\archive\"/>
    </mc:Choice>
  </mc:AlternateContent>
  <xr:revisionPtr revIDLastSave="0" documentId="13_ncr:1_{E9E78796-EC0F-4CAD-88E9-0E9AD5DA8123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best_selling_video_games" sheetId="1" r:id="rId1"/>
    <sheet name="Cleaned Data" sheetId="2" r:id="rId2"/>
    <sheet name="Max Sales by Games" sheetId="4" r:id="rId3"/>
    <sheet name="Max Sales by Studio" sheetId="6" r:id="rId4"/>
    <sheet name="Games by Year" sheetId="5" r:id="rId5"/>
    <sheet name="Year of Max Gaming" sheetId="7" r:id="rId6"/>
  </sheets>
  <definedNames>
    <definedName name="_xlnm._FilterDatabase" localSheetId="1" hidden="1">'Cleaned Data'!$A$1:$K$1</definedName>
  </definedNames>
  <calcPr calcId="191029"/>
  <pivotCaches>
    <pivotCache cacheId="19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" i="2" l="1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<sst xmlns="http://schemas.openxmlformats.org/spreadsheetml/2006/main" count="665" uniqueCount="187">
  <si>
    <t>Rank</t>
  </si>
  <si>
    <t>Title</t>
  </si>
  <si>
    <t>Platform(s)</t>
  </si>
  <si>
    <t>Developer(s)</t>
  </si>
  <si>
    <t>Publisher(s)</t>
  </si>
  <si>
    <t>Ref.</t>
  </si>
  <si>
    <t>Releaseyear</t>
  </si>
  <si>
    <t>Sales(millions)</t>
  </si>
  <si>
    <t>Series</t>
  </si>
  <si>
    <t>Table_Number</t>
  </si>
  <si>
    <t>Minecraft</t>
  </si>
  <si>
    <t>Multi-platform</t>
  </si>
  <si>
    <t>Mojang Studios</t>
  </si>
  <si>
    <t>2011[b]</t>
  </si>
  <si>
    <t>Grand Theft Auto V</t>
  </si>
  <si>
    <t>Rockstar North</t>
  </si>
  <si>
    <t>Rockstar Games</t>
  </si>
  <si>
    <t>Grand Theft Auto</t>
  </si>
  <si>
    <t>Wii Sports[a]</t>
  </si>
  <si>
    <t>Wii</t>
  </si>
  <si>
    <t>Nintendo EAD</t>
  </si>
  <si>
    <t>Nintendo</t>
  </si>
  <si>
    <t>Red Dead Redemption 2</t>
  </si>
  <si>
    <t>Red Dead</t>
  </si>
  <si>
    <t>Mario Kart 8/Deluxe</t>
  </si>
  <si>
    <t>Wii U/Switch</t>
  </si>
  <si>
    <t>Nintendo EAD/Nintendo EPD(Deluxe)</t>
  </si>
  <si>
    <t>[c]</t>
  </si>
  <si>
    <t>Mario Kart</t>
  </si>
  <si>
    <t>PUBG: Battlegrounds</t>
  </si>
  <si>
    <t>PUBG Studios</t>
  </si>
  <si>
    <t>Krafton</t>
  </si>
  <si>
    <t>PUBG Universe</t>
  </si>
  <si>
    <t>Terraria</t>
  </si>
  <si>
    <t>Re-Logic</t>
  </si>
  <si>
    <t>Re-Logic/505 Games</t>
  </si>
  <si>
    <t>None</t>
  </si>
  <si>
    <t>The Witcher 3: Wild Hunt</t>
  </si>
  <si>
    <t>CD Projekt Red</t>
  </si>
  <si>
    <t>CD Projekt</t>
  </si>
  <si>
    <t>The Witcher</t>
  </si>
  <si>
    <t>Super Mario Bros.[d]</t>
  </si>
  <si>
    <t>Nintendo R&amp;D4</t>
  </si>
  <si>
    <t>Super Mario</t>
  </si>
  <si>
    <t>Human: Fall Flat</t>
  </si>
  <si>
    <t>No Brakes Games</t>
  </si>
  <si>
    <t>Curve Digital</t>
  </si>
  <si>
    <t>Overwatch</t>
  </si>
  <si>
    <t>Blizzard Entertainment</t>
  </si>
  <si>
    <t>The Sims</t>
  </si>
  <si>
    <t>Electronic Arts</t>
  </si>
  <si>
    <t>Maxis</t>
  </si>
  <si>
    <t>Stardew Valley</t>
  </si>
  <si>
    <t>Chucklefish/ConcernedApe</t>
  </si>
  <si>
    <t>ConcernedApe</t>
  </si>
  <si>
    <t>Animal Crossing: New Horizons</t>
  </si>
  <si>
    <t>Nintendo Switch</t>
  </si>
  <si>
    <t>Nintendo EPD</t>
  </si>
  <si>
    <t>Animal Crossing</t>
  </si>
  <si>
    <t>Pokémon Red/Blue/Yellow</t>
  </si>
  <si>
    <t>Game Freak</t>
  </si>
  <si>
    <t>[e]</t>
  </si>
  <si>
    <t>Pokémon</t>
  </si>
  <si>
    <t>Wii Fit/Plus[f]</t>
  </si>
  <si>
    <t>[g]</t>
  </si>
  <si>
    <t>Call of Duty: Black Ops III</t>
  </si>
  <si>
    <t>Treyarch</t>
  </si>
  <si>
    <t>Activision</t>
  </si>
  <si>
    <t>Call of Duty</t>
  </si>
  <si>
    <t>Call of Duty: Modern Warfare</t>
  </si>
  <si>
    <t>Infinity Ward</t>
  </si>
  <si>
    <t>Hogwarts Legacy</t>
  </si>
  <si>
    <t>Avalanche Software</t>
  </si>
  <si>
    <t>Warner Bros. Games</t>
  </si>
  <si>
    <t>Wizarding World</t>
  </si>
  <si>
    <t>Payday 2</t>
  </si>
  <si>
    <t>505 Games</t>
  </si>
  <si>
    <t>Overkill Software</t>
  </si>
  <si>
    <t>Payday</t>
  </si>
  <si>
    <t>Sonic the Hedgehog[h]</t>
  </si>
  <si>
    <t>Sega</t>
  </si>
  <si>
    <t>Sonic Team</t>
  </si>
  <si>
    <t>Sonic the Hedgehog</t>
  </si>
  <si>
    <t>Super Smash Bros. Ultimate</t>
  </si>
  <si>
    <t>Bandai Namco Studios/Sora Ltd.</t>
  </si>
  <si>
    <t>Super Smash Bros.</t>
  </si>
  <si>
    <t>Mario Kart Wii[i]</t>
  </si>
  <si>
    <t>The Legend of Zelda: Breath of the Wild</t>
  </si>
  <si>
    <t>[j]</t>
  </si>
  <si>
    <t>The Legend of Zelda</t>
  </si>
  <si>
    <t>Tetris(Game Boy)[k]</t>
  </si>
  <si>
    <t>Game Boy</t>
  </si>
  <si>
    <t>Nintendo R&amp;D1</t>
  </si>
  <si>
    <t>Tetris</t>
  </si>
  <si>
    <t>Cyberpunk 2077</t>
  </si>
  <si>
    <t>Cyberpunk</t>
  </si>
  <si>
    <t>Wii Sports Resort[l]</t>
  </si>
  <si>
    <t>New Super Mario Bros.</t>
  </si>
  <si>
    <t>Nintendo DS</t>
  </si>
  <si>
    <t>New Super Mario Bros. Wii</t>
  </si>
  <si>
    <t>Super Mario Odyssey</t>
  </si>
  <si>
    <t>Pokémon Gold/Silver/Crystal</t>
  </si>
  <si>
    <t>Game Boy Color</t>
  </si>
  <si>
    <t>[m]</t>
  </si>
  <si>
    <t>Elden Ring</t>
  </si>
  <si>
    <t>FromSoftware</t>
  </si>
  <si>
    <t>Bandai Namco</t>
  </si>
  <si>
    <t>Borderlands 2</t>
  </si>
  <si>
    <t>2K Games</t>
  </si>
  <si>
    <t>Gearbox Software</t>
  </si>
  <si>
    <t>Borderlands</t>
  </si>
  <si>
    <t>Call of Duty: Black Ops Cold War</t>
  </si>
  <si>
    <t>Treyarch/Raven Software</t>
  </si>
  <si>
    <t>The Elder Scrolls V: Skyrim</t>
  </si>
  <si>
    <t>Bethesda Softworks</t>
  </si>
  <si>
    <t>Bethesda Game Studios</t>
  </si>
  <si>
    <t>The Elder Scrolls</t>
  </si>
  <si>
    <t>Monster Hunter: World</t>
  </si>
  <si>
    <t>Capcom</t>
  </si>
  <si>
    <t>[n]</t>
  </si>
  <si>
    <t>Monster Hunter</t>
  </si>
  <si>
    <t>Duck Hunt[o]</t>
  </si>
  <si>
    <t>Famicom / NES</t>
  </si>
  <si>
    <t>Pokémon Scarlet/Violet</t>
  </si>
  <si>
    <t>Nintendo/The Pokémon Company</t>
  </si>
  <si>
    <t>Wii Play[p]</t>
  </si>
  <si>
    <t>Black Myth: Wukong</t>
  </si>
  <si>
    <t>Game Science</t>
  </si>
  <si>
    <t>Black Myth</t>
  </si>
  <si>
    <t>Grand Theft Auto: San Andreas</t>
  </si>
  <si>
    <t>Pokémon Sword/Shield</t>
  </si>
  <si>
    <t>It Takes Two</t>
  </si>
  <si>
    <t>Hazelight Studios</t>
  </si>
  <si>
    <t>The Last of Us/Remastered</t>
  </si>
  <si>
    <t>PS3/PS4</t>
  </si>
  <si>
    <t>Naughty Dog</t>
  </si>
  <si>
    <t>Sony Computer Entertainment</t>
  </si>
  <si>
    <t>[q]</t>
  </si>
  <si>
    <t>The Last of Us</t>
  </si>
  <si>
    <t>Call of Duty: Modern Warfare 3</t>
  </si>
  <si>
    <t>Infinity Ward/Sledgehammer</t>
  </si>
  <si>
    <t>Call of Duty: Black Ops</t>
  </si>
  <si>
    <t>Marvel's Spider-Man/Remastered</t>
  </si>
  <si>
    <t>Multi-Platform</t>
  </si>
  <si>
    <t>Insomniac Games</t>
  </si>
  <si>
    <t>Sony Interactive Entertainment</t>
  </si>
  <si>
    <t>[r]</t>
  </si>
  <si>
    <t>Marvel's Spider-Man</t>
  </si>
  <si>
    <t>Pokémon Sun/Moon/Ultra Sun/Ultra Moon</t>
  </si>
  <si>
    <t>Nintendo 3DS</t>
  </si>
  <si>
    <t>[s]</t>
  </si>
  <si>
    <t>Garry's Mod</t>
  </si>
  <si>
    <t>PC</t>
  </si>
  <si>
    <t>Facepunch Studios</t>
  </si>
  <si>
    <t>Valve</t>
  </si>
  <si>
    <t>Pokémon Diamond/Pearl/Platinum</t>
  </si>
  <si>
    <t>[t]</t>
  </si>
  <si>
    <t>Releaseyear Cleaned</t>
  </si>
  <si>
    <t>Row Labels</t>
  </si>
  <si>
    <t>Grand Total</t>
  </si>
  <si>
    <t>Sum of Sales(millions)</t>
  </si>
  <si>
    <t>(All)</t>
  </si>
  <si>
    <t>1984</t>
  </si>
  <si>
    <t>1985</t>
  </si>
  <si>
    <t>1989</t>
  </si>
  <si>
    <t>1996</t>
  </si>
  <si>
    <t>1999</t>
  </si>
  <si>
    <t>2004</t>
  </si>
  <si>
    <t>2006</t>
  </si>
  <si>
    <t>2007</t>
  </si>
  <si>
    <t>2008</t>
  </si>
  <si>
    <t>2009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</si>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</sst>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A706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hish" refreshedDate="46073.977209143515" createdVersion="8" refreshedVersion="8" minRefreshableVersion="3" recordCount="42" xr:uid="{68571AF8-C5B8-4D0F-BA9D-BE9B07814539}">
  <cacheSource type="worksheet">
    <worksheetSource ref="A1:K43" sheet="Cleaned Data"/>
  </cacheSource>
  <cacheFields count="11">
    <cacheField name="Rank" numFmtId="0">
      <sharedItems containsSemiMixedTypes="0" containsString="0" containsNumber="1" containsInteger="1" minValue="1" maxValue="50"/>
    </cacheField>
    <cacheField name="Title" numFmtId="0">
      <sharedItems count="42">
        <s v="Minecraft"/>
        <s v="Grand Theft Auto V"/>
        <s v="Wii Sports[a]"/>
        <s v="Red Dead Redemption 2"/>
        <s v="Mario Kart 8/Deluxe"/>
        <s v="PUBG: Battlegrounds"/>
        <s v="Terraria"/>
        <s v="The Witcher 3: Wild Hunt"/>
        <s v="Super Mario Bros.[d]"/>
        <s v="Human: Fall Flat"/>
        <s v="Overwatch"/>
        <s v="Animal Crossing: New Horizons"/>
        <s v="Pokémon Red/Blue/Yellow"/>
        <s v="Wii Fit/Plus[f]"/>
        <s v="Call of Duty: Black Ops III"/>
        <s v="Call of Duty: Modern Warfare"/>
        <s v="Hogwarts Legacy"/>
        <s v="Super Smash Bros. Ultimate"/>
        <s v="Mario Kart Wii[i]"/>
        <s v="The Legend of Zelda: Breath of the Wild"/>
        <s v="Tetris(Game Boy)[k]"/>
        <s v="Wii Sports Resort[l]"/>
        <s v="New Super Mario Bros."/>
        <s v="New Super Mario Bros. Wii"/>
        <s v="Super Mario Odyssey"/>
        <s v="Pokémon Gold/Silver/Crystal"/>
        <s v="Elden Ring"/>
        <s v="Monster Hunter: World"/>
        <s v="Duck Hunt[o]"/>
        <s v="Pokémon Scarlet/Violet"/>
        <s v="Wii Play[p]"/>
        <s v="Black Myth: Wukong"/>
        <s v="Grand Theft Auto: San Andreas"/>
        <s v="Pokémon Sword/Shield"/>
        <s v="It Takes Two"/>
        <s v="The Last of Us/Remastered"/>
        <s v="Call of Duty: Modern Warfare 3"/>
        <s v="Call of Duty: Black Ops"/>
        <s v="Marvel's Spider-Man/Remastered"/>
        <s v="Pokémon Sun/Moon/Ultra Sun/Ultra Moon"/>
        <s v="Garry's Mod"/>
        <s v="Pokémon Diamond/Pearl/Platinum"/>
      </sharedItems>
    </cacheField>
    <cacheField name="Platform(s)" numFmtId="0">
      <sharedItems count="11">
        <s v="Multi-platform"/>
        <s v="Wii"/>
        <s v="Wii U/Switch"/>
        <s v="Nintendo Switch"/>
        <s v="Game Boy"/>
        <s v="Nintendo DS"/>
        <s v="Game Boy Color"/>
        <s v="Famicom / NES"/>
        <s v="PS3/PS4"/>
        <s v="Nintendo 3DS"/>
        <s v="PC"/>
      </sharedItems>
    </cacheField>
    <cacheField name="Developer(s)" numFmtId="0">
      <sharedItems count="26">
        <s v="Mojang Studios"/>
        <s v="Rockstar North"/>
        <s v="Nintendo EAD"/>
        <s v="Rockstar Games"/>
        <s v="Nintendo EAD/Nintendo EPD(Deluxe)"/>
        <s v="PUBG Studios"/>
        <s v="Re-Logic"/>
        <s v="CD Projekt Red"/>
        <s v="Nintendo R&amp;D4"/>
        <s v="No Brakes Games"/>
        <s v="Blizzard Entertainment"/>
        <s v="Nintendo EPD"/>
        <s v="Game Freak"/>
        <s v="Treyarch"/>
        <s v="Infinity Ward"/>
        <s v="Avalanche Software"/>
        <s v="Bandai Namco Studios/Sora Ltd."/>
        <s v="Nintendo R&amp;D1"/>
        <s v="FromSoftware"/>
        <s v="Capcom"/>
        <s v="Game Science"/>
        <s v="Hazelight Studios"/>
        <s v="Naughty Dog"/>
        <s v="Infinity Ward/Sledgehammer"/>
        <s v="Insomniac Games"/>
        <s v="Facepunch Studios"/>
      </sharedItems>
    </cacheField>
    <cacheField name="Publisher(s)" numFmtId="0">
      <sharedItems count="18">
        <s v="Mojang Studios"/>
        <s v="Rockstar Games"/>
        <s v="Nintendo"/>
        <s v="Krafton"/>
        <s v="Re-Logic/505 Games"/>
        <s v="CD Projekt"/>
        <s v="Curve Digital"/>
        <s v="Blizzard Entertainment"/>
        <s v="Activision"/>
        <s v="Warner Bros. Games"/>
        <s v="Bandai Namco"/>
        <s v="Capcom"/>
        <s v="Nintendo/The Pokémon Company"/>
        <s v="Game Science"/>
        <s v="Electronic Arts"/>
        <s v="Sony Computer Entertainment"/>
        <s v="Sony Interactive Entertainment"/>
        <s v="Valve"/>
      </sharedItems>
    </cacheField>
    <cacheField name="Ref." numFmtId="0">
      <sharedItems containsBlank="1"/>
    </cacheField>
    <cacheField name="Releaseyear" numFmtId="0">
      <sharedItems containsMixedTypes="1" containsNumber="1" containsInteger="1" minValue="1984" maxValue="2024"/>
    </cacheField>
    <cacheField name="Releaseyear Cleaned" numFmtId="0">
      <sharedItems count="24">
        <s v="2011"/>
        <s v="2013"/>
        <s v="2006"/>
        <s v="2018"/>
        <s v="2014"/>
        <s v="2017"/>
        <s v="2015"/>
        <s v="1985"/>
        <s v="2016"/>
        <s v="2020"/>
        <s v="1996"/>
        <s v="2007"/>
        <s v="2019"/>
        <s v="2023"/>
        <s v="2008"/>
        <s v="1989"/>
        <s v="2009"/>
        <s v="1999"/>
        <s v="2022"/>
        <s v="1984"/>
        <s v="2024"/>
        <s v="2004"/>
        <s v="2021"/>
        <s v="2010"/>
      </sharedItems>
    </cacheField>
    <cacheField name="Sales(millions)" numFmtId="2">
      <sharedItems containsSemiMixedTypes="0" containsString="0" containsNumber="1" minValue="25.5" maxValue="350"/>
    </cacheField>
    <cacheField name="Series" numFmtId="0">
      <sharedItems/>
    </cacheField>
    <cacheField name="Table_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hish" refreshedDate="46073.981596064812" createdVersion="8" refreshedVersion="8" minRefreshableVersion="3" recordCount="42" xr:uid="{344C180C-8C84-4689-A8E8-0D0CA9601839}">
  <cacheSource type="worksheet">
    <worksheetSource ref="B1:K43" sheet="Cleaned Data"/>
  </cacheSource>
  <cacheFields count="10">
    <cacheField name="Title" numFmtId="0">
      <sharedItems count="42">
        <s v="Minecraft"/>
        <s v="Grand Theft Auto V"/>
        <s v="Wii Sports[a]"/>
        <s v="Red Dead Redemption 2"/>
        <s v="Mario Kart 8/Deluxe"/>
        <s v="PUBG: Battlegrounds"/>
        <s v="Terraria"/>
        <s v="The Witcher 3: Wild Hunt"/>
        <s v="Super Mario Bros.[d]"/>
        <s v="Human: Fall Flat"/>
        <s v="Overwatch"/>
        <s v="Animal Crossing: New Horizons"/>
        <s v="Pokémon Red/Blue/Yellow"/>
        <s v="Wii Fit/Plus[f]"/>
        <s v="Call of Duty: Black Ops III"/>
        <s v="Call of Duty: Modern Warfare"/>
        <s v="Hogwarts Legacy"/>
        <s v="Super Smash Bros. Ultimate"/>
        <s v="Mario Kart Wii[i]"/>
        <s v="The Legend of Zelda: Breath of the Wild"/>
        <s v="Tetris(Game Boy)[k]"/>
        <s v="Wii Sports Resort[l]"/>
        <s v="New Super Mario Bros."/>
        <s v="New Super Mario Bros. Wii"/>
        <s v="Super Mario Odyssey"/>
        <s v="Pokémon Gold/Silver/Crystal"/>
        <s v="Elden Ring"/>
        <s v="Monster Hunter: World"/>
        <s v="Duck Hunt[o]"/>
        <s v="Pokémon Scarlet/Violet"/>
        <s v="Wii Play[p]"/>
        <s v="Black Myth: Wukong"/>
        <s v="Grand Theft Auto: San Andreas"/>
        <s v="Pokémon Sword/Shield"/>
        <s v="It Takes Two"/>
        <s v="The Last of Us/Remastered"/>
        <s v="Call of Duty: Modern Warfare 3"/>
        <s v="Call of Duty: Black Ops"/>
        <s v="Marvel's Spider-Man/Remastered"/>
        <s v="Pokémon Sun/Moon/Ultra Sun/Ultra Moon"/>
        <s v="Garry's Mod"/>
        <s v="Pokémon Diamond/Pearl/Platinum"/>
      </sharedItems>
    </cacheField>
    <cacheField name="Platform(s)" numFmtId="0">
      <sharedItems count="11">
        <s v="Multi-platform"/>
        <s v="Wii"/>
        <s v="Wii U/Switch"/>
        <s v="Nintendo Switch"/>
        <s v="Game Boy"/>
        <s v="Nintendo DS"/>
        <s v="Game Boy Color"/>
        <s v="Famicom / NES"/>
        <s v="PS3/PS4"/>
        <s v="Nintendo 3DS"/>
        <s v="PC"/>
      </sharedItems>
    </cacheField>
    <cacheField name="Developer(s)" numFmtId="0">
      <sharedItems count="26">
        <s v="Mojang Studios"/>
        <s v="Rockstar North"/>
        <s v="Nintendo EAD"/>
        <s v="Rockstar Games"/>
        <s v="Nintendo EAD/Nintendo EPD(Deluxe)"/>
        <s v="PUBG Studios"/>
        <s v="Re-Logic"/>
        <s v="CD Projekt Red"/>
        <s v="Nintendo R&amp;D4"/>
        <s v="No Brakes Games"/>
        <s v="Blizzard Entertainment"/>
        <s v="Nintendo EPD"/>
        <s v="Game Freak"/>
        <s v="Treyarch"/>
        <s v="Infinity Ward"/>
        <s v="Avalanche Software"/>
        <s v="Bandai Namco Studios/Sora Ltd."/>
        <s v="Nintendo R&amp;D1"/>
        <s v="FromSoftware"/>
        <s v="Capcom"/>
        <s v="Game Science"/>
        <s v="Hazelight Studios"/>
        <s v="Naughty Dog"/>
        <s v="Infinity Ward/Sledgehammer"/>
        <s v="Insomniac Games"/>
        <s v="Facepunch Studios"/>
      </sharedItems>
    </cacheField>
    <cacheField name="Publisher(s)" numFmtId="0">
      <sharedItems count="18">
        <s v="Mojang Studios"/>
        <s v="Rockstar Games"/>
        <s v="Nintendo"/>
        <s v="Krafton"/>
        <s v="Re-Logic/505 Games"/>
        <s v="CD Projekt"/>
        <s v="Curve Digital"/>
        <s v="Blizzard Entertainment"/>
        <s v="Activision"/>
        <s v="Warner Bros. Games"/>
        <s v="Bandai Namco"/>
        <s v="Capcom"/>
        <s v="Nintendo/The Pokémon Company"/>
        <s v="Game Science"/>
        <s v="Electronic Arts"/>
        <s v="Sony Computer Entertainment"/>
        <s v="Sony Interactive Entertainment"/>
        <s v="Valve"/>
      </sharedItems>
    </cacheField>
    <cacheField name="Ref." numFmtId="0">
      <sharedItems containsBlank="1"/>
    </cacheField>
    <cacheField name="Releaseyear" numFmtId="0">
      <sharedItems containsMixedTypes="1" containsNumber="1" containsInteger="1" minValue="1984" maxValue="2024"/>
    </cacheField>
    <cacheField name="Releaseyear Cleaned" numFmtId="0">
      <sharedItems count="24">
        <s v="2011"/>
        <s v="2013"/>
        <s v="2006"/>
        <s v="2018"/>
        <s v="2014"/>
        <s v="2017"/>
        <s v="2015"/>
        <s v="1985"/>
        <s v="2016"/>
        <s v="2020"/>
        <s v="1996"/>
        <s v="2007"/>
        <s v="2019"/>
        <s v="2023"/>
        <s v="2008"/>
        <s v="1989"/>
        <s v="2009"/>
        <s v="1999"/>
        <s v="2022"/>
        <s v="1984"/>
        <s v="2024"/>
        <s v="2004"/>
        <s v="2021"/>
        <s v="2010"/>
      </sharedItems>
    </cacheField>
    <cacheField name="Sales(millions)" numFmtId="2">
      <sharedItems containsSemiMixedTypes="0" containsString="0" containsNumber="1" minValue="25.5" maxValue="350"/>
    </cacheField>
    <cacheField name="Series" numFmtId="0">
      <sharedItems/>
    </cacheField>
    <cacheField name="Table_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"/>
    <x v="0"/>
    <x v="0"/>
    <x v="0"/>
    <x v="0"/>
    <m/>
    <s v="2011[b]"/>
    <x v="0"/>
    <n v="350"/>
    <s v="Minecraft"/>
    <n v="1"/>
  </r>
  <r>
    <n v="2"/>
    <x v="1"/>
    <x v="0"/>
    <x v="1"/>
    <x v="1"/>
    <m/>
    <n v="2013"/>
    <x v="1"/>
    <n v="225"/>
    <s v="Grand Theft Auto"/>
    <n v="1"/>
  </r>
  <r>
    <n v="3"/>
    <x v="2"/>
    <x v="1"/>
    <x v="2"/>
    <x v="2"/>
    <m/>
    <n v="2006"/>
    <x v="2"/>
    <n v="82.9"/>
    <s v="Wii"/>
    <n v="1"/>
  </r>
  <r>
    <n v="4"/>
    <x v="3"/>
    <x v="0"/>
    <x v="3"/>
    <x v="1"/>
    <m/>
    <n v="2018"/>
    <x v="3"/>
    <n v="82"/>
    <s v="Red Dead"/>
    <n v="1"/>
  </r>
  <r>
    <n v="5"/>
    <x v="4"/>
    <x v="2"/>
    <x v="4"/>
    <x v="2"/>
    <s v="[c]"/>
    <n v="2014"/>
    <x v="4"/>
    <n v="79.05"/>
    <s v="Mario Kart"/>
    <n v="1"/>
  </r>
  <r>
    <n v="6"/>
    <x v="5"/>
    <x v="0"/>
    <x v="5"/>
    <x v="3"/>
    <m/>
    <n v="2017"/>
    <x v="5"/>
    <n v="75"/>
    <s v="PUBG Universe"/>
    <n v="1"/>
  </r>
  <r>
    <n v="7"/>
    <x v="6"/>
    <x v="0"/>
    <x v="6"/>
    <x v="4"/>
    <m/>
    <n v="2011"/>
    <x v="0"/>
    <n v="64"/>
    <s v="None"/>
    <n v="1"/>
  </r>
  <r>
    <n v="8"/>
    <x v="7"/>
    <x v="0"/>
    <x v="7"/>
    <x v="5"/>
    <m/>
    <n v="2015"/>
    <x v="6"/>
    <n v="60"/>
    <s v="The Witcher"/>
    <n v="1"/>
  </r>
  <r>
    <n v="9"/>
    <x v="8"/>
    <x v="0"/>
    <x v="8"/>
    <x v="2"/>
    <m/>
    <n v="1985"/>
    <x v="7"/>
    <n v="58"/>
    <s v="Super Mario"/>
    <n v="1"/>
  </r>
  <r>
    <n v="10"/>
    <x v="9"/>
    <x v="0"/>
    <x v="9"/>
    <x v="6"/>
    <m/>
    <n v="2016"/>
    <x v="8"/>
    <n v="55"/>
    <s v="None"/>
    <n v="1"/>
  </r>
  <r>
    <n v="11"/>
    <x v="10"/>
    <x v="0"/>
    <x v="10"/>
    <x v="7"/>
    <m/>
    <n v="2016"/>
    <x v="8"/>
    <n v="50"/>
    <s v="Overwatch"/>
    <n v="1"/>
  </r>
  <r>
    <n v="14"/>
    <x v="11"/>
    <x v="3"/>
    <x v="11"/>
    <x v="2"/>
    <m/>
    <n v="2020"/>
    <x v="9"/>
    <n v="49.32"/>
    <s v="Animal Crossing"/>
    <n v="1"/>
  </r>
  <r>
    <n v="15"/>
    <x v="12"/>
    <x v="0"/>
    <x v="12"/>
    <x v="2"/>
    <s v="[e]"/>
    <n v="1996"/>
    <x v="10"/>
    <n v="47.44"/>
    <s v="Pokémon"/>
    <n v="1"/>
  </r>
  <r>
    <n v="16"/>
    <x v="13"/>
    <x v="1"/>
    <x v="2"/>
    <x v="2"/>
    <s v="[g]"/>
    <n v="2007"/>
    <x v="11"/>
    <n v="43.8"/>
    <s v="Wii"/>
    <n v="1"/>
  </r>
  <r>
    <n v="17"/>
    <x v="14"/>
    <x v="0"/>
    <x v="13"/>
    <x v="8"/>
    <m/>
    <n v="2015"/>
    <x v="6"/>
    <n v="43"/>
    <s v="Call of Duty"/>
    <n v="1"/>
  </r>
  <r>
    <n v="18"/>
    <x v="15"/>
    <x v="0"/>
    <x v="14"/>
    <x v="8"/>
    <m/>
    <n v="2019"/>
    <x v="12"/>
    <n v="41"/>
    <s v="Call of Duty"/>
    <n v="1"/>
  </r>
  <r>
    <n v="19"/>
    <x v="16"/>
    <x v="0"/>
    <x v="15"/>
    <x v="9"/>
    <m/>
    <n v="2023"/>
    <x v="13"/>
    <n v="40"/>
    <s v="Wizarding World"/>
    <n v="1"/>
  </r>
  <r>
    <n v="22"/>
    <x v="17"/>
    <x v="3"/>
    <x v="16"/>
    <x v="2"/>
    <m/>
    <n v="2018"/>
    <x v="3"/>
    <n v="37.44"/>
    <s v="Super Smash Bros."/>
    <n v="1"/>
  </r>
  <r>
    <n v="23"/>
    <x v="18"/>
    <x v="1"/>
    <x v="2"/>
    <x v="2"/>
    <m/>
    <n v="2008"/>
    <x v="14"/>
    <n v="37.380000000000003"/>
    <s v="Mario Kart"/>
    <n v="1"/>
  </r>
  <r>
    <n v="24"/>
    <x v="19"/>
    <x v="0"/>
    <x v="11"/>
    <x v="2"/>
    <s v="[j]"/>
    <n v="2017"/>
    <x v="5"/>
    <n v="35.340000000000003"/>
    <s v="The Legend of Zelda"/>
    <n v="1"/>
  </r>
  <r>
    <n v="25"/>
    <x v="20"/>
    <x v="4"/>
    <x v="17"/>
    <x v="2"/>
    <m/>
    <n v="1989"/>
    <x v="15"/>
    <n v="35"/>
    <s v="Tetris"/>
    <n v="1"/>
  </r>
  <r>
    <n v="27"/>
    <x v="21"/>
    <x v="1"/>
    <x v="2"/>
    <x v="2"/>
    <m/>
    <n v="2009"/>
    <x v="16"/>
    <n v="33.14"/>
    <s v="Wii"/>
    <n v="1"/>
  </r>
  <r>
    <n v="28"/>
    <x v="22"/>
    <x v="5"/>
    <x v="2"/>
    <x v="2"/>
    <m/>
    <n v="2006"/>
    <x v="2"/>
    <n v="30.8"/>
    <s v="Super Mario"/>
    <n v="1"/>
  </r>
  <r>
    <n v="29"/>
    <x v="23"/>
    <x v="1"/>
    <x v="2"/>
    <x v="2"/>
    <m/>
    <n v="2009"/>
    <x v="16"/>
    <n v="30.32"/>
    <s v="Super Mario"/>
    <n v="1"/>
  </r>
  <r>
    <n v="30"/>
    <x v="24"/>
    <x v="3"/>
    <x v="11"/>
    <x v="2"/>
    <m/>
    <n v="2017"/>
    <x v="5"/>
    <n v="30.27"/>
    <s v="Super Mario"/>
    <n v="1"/>
  </r>
  <r>
    <n v="31"/>
    <x v="25"/>
    <x v="6"/>
    <x v="12"/>
    <x v="2"/>
    <s v="[m]"/>
    <n v="1999"/>
    <x v="17"/>
    <n v="30.12"/>
    <s v="Pokémon"/>
    <n v="1"/>
  </r>
  <r>
    <n v="32"/>
    <x v="26"/>
    <x v="0"/>
    <x v="18"/>
    <x v="10"/>
    <m/>
    <n v="2022"/>
    <x v="18"/>
    <n v="30"/>
    <s v="Elden Ring"/>
    <n v="1"/>
  </r>
  <r>
    <n v="36"/>
    <x v="27"/>
    <x v="0"/>
    <x v="19"/>
    <x v="11"/>
    <s v="[n]"/>
    <n v="2018"/>
    <x v="3"/>
    <n v="29.1"/>
    <s v="Monster Hunter"/>
    <n v="1"/>
  </r>
  <r>
    <n v="37"/>
    <x v="28"/>
    <x v="7"/>
    <x v="17"/>
    <x v="2"/>
    <m/>
    <n v="1984"/>
    <x v="19"/>
    <n v="28.3"/>
    <s v="None"/>
    <n v="1"/>
  </r>
  <r>
    <n v="38"/>
    <x v="29"/>
    <x v="3"/>
    <x v="12"/>
    <x v="12"/>
    <m/>
    <n v="2022"/>
    <x v="18"/>
    <n v="28.08"/>
    <s v="Pokémon"/>
    <n v="1"/>
  </r>
  <r>
    <n v="39"/>
    <x v="30"/>
    <x v="1"/>
    <x v="2"/>
    <x v="2"/>
    <m/>
    <n v="2006"/>
    <x v="2"/>
    <n v="28.02"/>
    <s v="Wii"/>
    <n v="1"/>
  </r>
  <r>
    <n v="40"/>
    <x v="31"/>
    <x v="0"/>
    <x v="20"/>
    <x v="13"/>
    <m/>
    <n v="2024"/>
    <x v="20"/>
    <n v="28"/>
    <s v="Black Myth"/>
    <n v="1"/>
  </r>
  <r>
    <n v="41"/>
    <x v="32"/>
    <x v="0"/>
    <x v="1"/>
    <x v="1"/>
    <m/>
    <n v="2004"/>
    <x v="21"/>
    <n v="27.5"/>
    <s v="Grand Theft Auto"/>
    <n v="1"/>
  </r>
  <r>
    <n v="42"/>
    <x v="33"/>
    <x v="3"/>
    <x v="12"/>
    <x v="12"/>
    <m/>
    <n v="2019"/>
    <x v="12"/>
    <n v="27.08"/>
    <s v="Pokémon"/>
    <n v="1"/>
  </r>
  <r>
    <n v="43"/>
    <x v="34"/>
    <x v="0"/>
    <x v="21"/>
    <x v="14"/>
    <m/>
    <n v="2021"/>
    <x v="22"/>
    <n v="27"/>
    <s v="None"/>
    <n v="1"/>
  </r>
  <r>
    <n v="44"/>
    <x v="35"/>
    <x v="8"/>
    <x v="22"/>
    <x v="15"/>
    <s v="[q]"/>
    <n v="2013"/>
    <x v="1"/>
    <n v="26.6"/>
    <s v="The Last of Us"/>
    <n v="1"/>
  </r>
  <r>
    <n v="45"/>
    <x v="36"/>
    <x v="0"/>
    <x v="23"/>
    <x v="8"/>
    <m/>
    <n v="2011"/>
    <x v="0"/>
    <n v="26.5"/>
    <s v="Call of Duty"/>
    <n v="1"/>
  </r>
  <r>
    <n v="46"/>
    <x v="37"/>
    <x v="0"/>
    <x v="13"/>
    <x v="8"/>
    <m/>
    <n v="2010"/>
    <x v="23"/>
    <n v="26.2"/>
    <s v="Call of Duty"/>
    <n v="1"/>
  </r>
  <r>
    <n v="47"/>
    <x v="38"/>
    <x v="0"/>
    <x v="24"/>
    <x v="16"/>
    <s v="[r]"/>
    <n v="2018"/>
    <x v="3"/>
    <n v="26.1"/>
    <s v="Marvel's Spider-Man"/>
    <n v="1"/>
  </r>
  <r>
    <n v="48"/>
    <x v="39"/>
    <x v="9"/>
    <x v="12"/>
    <x v="12"/>
    <s v="[s]"/>
    <n v="2016"/>
    <x v="8"/>
    <n v="25.59"/>
    <s v="Pokémon"/>
    <n v="1"/>
  </r>
  <r>
    <n v="49"/>
    <x v="40"/>
    <x v="10"/>
    <x v="25"/>
    <x v="17"/>
    <m/>
    <n v="2006"/>
    <x v="2"/>
    <n v="25.56"/>
    <s v="None"/>
    <n v="1"/>
  </r>
  <r>
    <n v="50"/>
    <x v="41"/>
    <x v="5"/>
    <x v="12"/>
    <x v="12"/>
    <s v="[t]"/>
    <n v="2006"/>
    <x v="2"/>
    <n v="25.5"/>
    <s v="Pokémon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  <m/>
    <s v="2011[b]"/>
    <x v="0"/>
    <n v="350"/>
    <s v="Minecraft"/>
    <n v="1"/>
  </r>
  <r>
    <x v="1"/>
    <x v="0"/>
    <x v="1"/>
    <x v="1"/>
    <m/>
    <n v="2013"/>
    <x v="1"/>
    <n v="225"/>
    <s v="Grand Theft Auto"/>
    <n v="1"/>
  </r>
  <r>
    <x v="2"/>
    <x v="1"/>
    <x v="2"/>
    <x v="2"/>
    <m/>
    <n v="2006"/>
    <x v="2"/>
    <n v="82.9"/>
    <s v="Wii"/>
    <n v="1"/>
  </r>
  <r>
    <x v="3"/>
    <x v="0"/>
    <x v="3"/>
    <x v="1"/>
    <m/>
    <n v="2018"/>
    <x v="3"/>
    <n v="82"/>
    <s v="Red Dead"/>
    <n v="1"/>
  </r>
  <r>
    <x v="4"/>
    <x v="2"/>
    <x v="4"/>
    <x v="2"/>
    <s v="[c]"/>
    <n v="2014"/>
    <x v="4"/>
    <n v="79.05"/>
    <s v="Mario Kart"/>
    <n v="1"/>
  </r>
  <r>
    <x v="5"/>
    <x v="0"/>
    <x v="5"/>
    <x v="3"/>
    <m/>
    <n v="2017"/>
    <x v="5"/>
    <n v="75"/>
    <s v="PUBG Universe"/>
    <n v="1"/>
  </r>
  <r>
    <x v="6"/>
    <x v="0"/>
    <x v="6"/>
    <x v="4"/>
    <m/>
    <n v="2011"/>
    <x v="0"/>
    <n v="64"/>
    <s v="None"/>
    <n v="1"/>
  </r>
  <r>
    <x v="7"/>
    <x v="0"/>
    <x v="7"/>
    <x v="5"/>
    <m/>
    <n v="2015"/>
    <x v="6"/>
    <n v="60"/>
    <s v="The Witcher"/>
    <n v="1"/>
  </r>
  <r>
    <x v="8"/>
    <x v="0"/>
    <x v="8"/>
    <x v="2"/>
    <m/>
    <n v="1985"/>
    <x v="7"/>
    <n v="58"/>
    <s v="Super Mario"/>
    <n v="1"/>
  </r>
  <r>
    <x v="9"/>
    <x v="0"/>
    <x v="9"/>
    <x v="6"/>
    <m/>
    <n v="2016"/>
    <x v="8"/>
    <n v="55"/>
    <s v="None"/>
    <n v="1"/>
  </r>
  <r>
    <x v="10"/>
    <x v="0"/>
    <x v="10"/>
    <x v="7"/>
    <m/>
    <n v="2016"/>
    <x v="8"/>
    <n v="50"/>
    <s v="Overwatch"/>
    <n v="1"/>
  </r>
  <r>
    <x v="11"/>
    <x v="3"/>
    <x v="11"/>
    <x v="2"/>
    <m/>
    <n v="2020"/>
    <x v="9"/>
    <n v="49.32"/>
    <s v="Animal Crossing"/>
    <n v="1"/>
  </r>
  <r>
    <x v="12"/>
    <x v="0"/>
    <x v="12"/>
    <x v="2"/>
    <s v="[e]"/>
    <n v="1996"/>
    <x v="10"/>
    <n v="47.44"/>
    <s v="Pokémon"/>
    <n v="1"/>
  </r>
  <r>
    <x v="13"/>
    <x v="1"/>
    <x v="2"/>
    <x v="2"/>
    <s v="[g]"/>
    <n v="2007"/>
    <x v="11"/>
    <n v="43.8"/>
    <s v="Wii"/>
    <n v="1"/>
  </r>
  <r>
    <x v="14"/>
    <x v="0"/>
    <x v="13"/>
    <x v="8"/>
    <m/>
    <n v="2015"/>
    <x v="6"/>
    <n v="43"/>
    <s v="Call of Duty"/>
    <n v="1"/>
  </r>
  <r>
    <x v="15"/>
    <x v="0"/>
    <x v="14"/>
    <x v="8"/>
    <m/>
    <n v="2019"/>
    <x v="12"/>
    <n v="41"/>
    <s v="Call of Duty"/>
    <n v="1"/>
  </r>
  <r>
    <x v="16"/>
    <x v="0"/>
    <x v="15"/>
    <x v="9"/>
    <m/>
    <n v="2023"/>
    <x v="13"/>
    <n v="40"/>
    <s v="Wizarding World"/>
    <n v="1"/>
  </r>
  <r>
    <x v="17"/>
    <x v="3"/>
    <x v="16"/>
    <x v="2"/>
    <m/>
    <n v="2018"/>
    <x v="3"/>
    <n v="37.44"/>
    <s v="Super Smash Bros."/>
    <n v="1"/>
  </r>
  <r>
    <x v="18"/>
    <x v="1"/>
    <x v="2"/>
    <x v="2"/>
    <m/>
    <n v="2008"/>
    <x v="14"/>
    <n v="37.380000000000003"/>
    <s v="Mario Kart"/>
    <n v="1"/>
  </r>
  <r>
    <x v="19"/>
    <x v="0"/>
    <x v="11"/>
    <x v="2"/>
    <s v="[j]"/>
    <n v="2017"/>
    <x v="5"/>
    <n v="35.340000000000003"/>
    <s v="The Legend of Zelda"/>
    <n v="1"/>
  </r>
  <r>
    <x v="20"/>
    <x v="4"/>
    <x v="17"/>
    <x v="2"/>
    <m/>
    <n v="1989"/>
    <x v="15"/>
    <n v="35"/>
    <s v="Tetris"/>
    <n v="1"/>
  </r>
  <r>
    <x v="21"/>
    <x v="1"/>
    <x v="2"/>
    <x v="2"/>
    <m/>
    <n v="2009"/>
    <x v="16"/>
    <n v="33.14"/>
    <s v="Wii"/>
    <n v="1"/>
  </r>
  <r>
    <x v="22"/>
    <x v="5"/>
    <x v="2"/>
    <x v="2"/>
    <m/>
    <n v="2006"/>
    <x v="2"/>
    <n v="30.8"/>
    <s v="Super Mario"/>
    <n v="1"/>
  </r>
  <r>
    <x v="23"/>
    <x v="1"/>
    <x v="2"/>
    <x v="2"/>
    <m/>
    <n v="2009"/>
    <x v="16"/>
    <n v="30.32"/>
    <s v="Super Mario"/>
    <n v="1"/>
  </r>
  <r>
    <x v="24"/>
    <x v="3"/>
    <x v="11"/>
    <x v="2"/>
    <m/>
    <n v="2017"/>
    <x v="5"/>
    <n v="30.27"/>
    <s v="Super Mario"/>
    <n v="1"/>
  </r>
  <r>
    <x v="25"/>
    <x v="6"/>
    <x v="12"/>
    <x v="2"/>
    <s v="[m]"/>
    <n v="1999"/>
    <x v="17"/>
    <n v="30.12"/>
    <s v="Pokémon"/>
    <n v="1"/>
  </r>
  <r>
    <x v="26"/>
    <x v="0"/>
    <x v="18"/>
    <x v="10"/>
    <m/>
    <n v="2022"/>
    <x v="18"/>
    <n v="30"/>
    <s v="Elden Ring"/>
    <n v="1"/>
  </r>
  <r>
    <x v="27"/>
    <x v="0"/>
    <x v="19"/>
    <x v="11"/>
    <s v="[n]"/>
    <n v="2018"/>
    <x v="3"/>
    <n v="29.1"/>
    <s v="Monster Hunter"/>
    <n v="1"/>
  </r>
  <r>
    <x v="28"/>
    <x v="7"/>
    <x v="17"/>
    <x v="2"/>
    <m/>
    <n v="1984"/>
    <x v="19"/>
    <n v="28.3"/>
    <s v="None"/>
    <n v="1"/>
  </r>
  <r>
    <x v="29"/>
    <x v="3"/>
    <x v="12"/>
    <x v="12"/>
    <m/>
    <n v="2022"/>
    <x v="18"/>
    <n v="28.08"/>
    <s v="Pokémon"/>
    <n v="1"/>
  </r>
  <r>
    <x v="30"/>
    <x v="1"/>
    <x v="2"/>
    <x v="2"/>
    <m/>
    <n v="2006"/>
    <x v="2"/>
    <n v="28.02"/>
    <s v="Wii"/>
    <n v="1"/>
  </r>
  <r>
    <x v="31"/>
    <x v="0"/>
    <x v="20"/>
    <x v="13"/>
    <m/>
    <n v="2024"/>
    <x v="20"/>
    <n v="28"/>
    <s v="Black Myth"/>
    <n v="1"/>
  </r>
  <r>
    <x v="32"/>
    <x v="0"/>
    <x v="1"/>
    <x v="1"/>
    <m/>
    <n v="2004"/>
    <x v="21"/>
    <n v="27.5"/>
    <s v="Grand Theft Auto"/>
    <n v="1"/>
  </r>
  <r>
    <x v="33"/>
    <x v="3"/>
    <x v="12"/>
    <x v="12"/>
    <m/>
    <n v="2019"/>
    <x v="12"/>
    <n v="27.08"/>
    <s v="Pokémon"/>
    <n v="1"/>
  </r>
  <r>
    <x v="34"/>
    <x v="0"/>
    <x v="21"/>
    <x v="14"/>
    <m/>
    <n v="2021"/>
    <x v="22"/>
    <n v="27"/>
    <s v="None"/>
    <n v="1"/>
  </r>
  <r>
    <x v="35"/>
    <x v="8"/>
    <x v="22"/>
    <x v="15"/>
    <s v="[q]"/>
    <n v="2013"/>
    <x v="1"/>
    <n v="26.6"/>
    <s v="The Last of Us"/>
    <n v="1"/>
  </r>
  <r>
    <x v="36"/>
    <x v="0"/>
    <x v="23"/>
    <x v="8"/>
    <m/>
    <n v="2011"/>
    <x v="0"/>
    <n v="26.5"/>
    <s v="Call of Duty"/>
    <n v="1"/>
  </r>
  <r>
    <x v="37"/>
    <x v="0"/>
    <x v="13"/>
    <x v="8"/>
    <m/>
    <n v="2010"/>
    <x v="23"/>
    <n v="26.2"/>
    <s v="Call of Duty"/>
    <n v="1"/>
  </r>
  <r>
    <x v="38"/>
    <x v="0"/>
    <x v="24"/>
    <x v="16"/>
    <s v="[r]"/>
    <n v="2018"/>
    <x v="3"/>
    <n v="26.1"/>
    <s v="Marvel's Spider-Man"/>
    <n v="1"/>
  </r>
  <r>
    <x v="39"/>
    <x v="9"/>
    <x v="12"/>
    <x v="12"/>
    <s v="[s]"/>
    <n v="2016"/>
    <x v="8"/>
    <n v="25.59"/>
    <s v="Pokémon"/>
    <n v="1"/>
  </r>
  <r>
    <x v="40"/>
    <x v="10"/>
    <x v="25"/>
    <x v="17"/>
    <m/>
    <n v="2006"/>
    <x v="2"/>
    <n v="25.56"/>
    <s v="None"/>
    <n v="1"/>
  </r>
  <r>
    <x v="41"/>
    <x v="5"/>
    <x v="12"/>
    <x v="12"/>
    <s v="[t]"/>
    <n v="2006"/>
    <x v="2"/>
    <n v="25.5"/>
    <s v="Pokémon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48D54-0EE3-4DBE-903C-AACB64A2902C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48" firstHeaderRow="1" firstDataRow="1" firstDataCol="1" rowPageCount="3" colPageCount="1"/>
  <pivotFields count="11">
    <pivotField showAll="0"/>
    <pivotField name="Games" axis="axisRow" showAll="0" sortType="descending">
      <items count="43">
        <item x="11"/>
        <item x="31"/>
        <item x="37"/>
        <item x="14"/>
        <item x="15"/>
        <item x="36"/>
        <item x="28"/>
        <item x="26"/>
        <item x="40"/>
        <item x="1"/>
        <item x="32"/>
        <item x="16"/>
        <item x="9"/>
        <item x="34"/>
        <item x="4"/>
        <item x="18"/>
        <item x="38"/>
        <item x="0"/>
        <item x="27"/>
        <item x="22"/>
        <item x="23"/>
        <item x="10"/>
        <item x="41"/>
        <item x="25"/>
        <item x="12"/>
        <item x="29"/>
        <item x="39"/>
        <item x="33"/>
        <item x="5"/>
        <item x="3"/>
        <item x="8"/>
        <item x="24"/>
        <item x="17"/>
        <item x="6"/>
        <item x="20"/>
        <item x="35"/>
        <item x="19"/>
        <item x="7"/>
        <item x="13"/>
        <item x="30"/>
        <item x="2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2">
        <item x="7"/>
        <item x="4"/>
        <item x="6"/>
        <item x="0"/>
        <item x="9"/>
        <item x="5"/>
        <item x="3"/>
        <item x="10"/>
        <item x="8"/>
        <item x="1"/>
        <item x="2"/>
        <item t="default"/>
      </items>
    </pivotField>
    <pivotField axis="axisPage" showAll="0" sortType="descending">
      <items count="27">
        <item x="15"/>
        <item x="16"/>
        <item x="10"/>
        <item x="19"/>
        <item x="7"/>
        <item x="25"/>
        <item x="18"/>
        <item x="12"/>
        <item x="20"/>
        <item x="21"/>
        <item x="14"/>
        <item x="23"/>
        <item x="24"/>
        <item x="0"/>
        <item x="22"/>
        <item x="2"/>
        <item x="4"/>
        <item x="11"/>
        <item x="17"/>
        <item x="8"/>
        <item x="9"/>
        <item x="5"/>
        <item x="6"/>
        <item x="3"/>
        <item x="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9">
        <item x="8"/>
        <item x="10"/>
        <item x="7"/>
        <item x="11"/>
        <item x="5"/>
        <item x="6"/>
        <item x="14"/>
        <item x="13"/>
        <item x="3"/>
        <item x="0"/>
        <item x="2"/>
        <item x="12"/>
        <item x="4"/>
        <item x="1"/>
        <item x="15"/>
        <item x="16"/>
        <item x="17"/>
        <item x="9"/>
        <item t="default"/>
      </items>
    </pivotField>
    <pivotField showAll="0"/>
    <pivotField showAll="0"/>
    <pivotField showAll="0"/>
    <pivotField dataField="1" numFmtId="2" showAll="0"/>
    <pivotField showAll="0"/>
    <pivotField showAll="0"/>
  </pivotFields>
  <rowFields count="1">
    <field x="1"/>
  </rowFields>
  <rowItems count="43">
    <i>
      <x v="17"/>
    </i>
    <i>
      <x v="9"/>
    </i>
    <i>
      <x v="41"/>
    </i>
    <i>
      <x v="29"/>
    </i>
    <i>
      <x v="14"/>
    </i>
    <i>
      <x v="28"/>
    </i>
    <i>
      <x v="33"/>
    </i>
    <i>
      <x v="37"/>
    </i>
    <i>
      <x v="30"/>
    </i>
    <i>
      <x v="12"/>
    </i>
    <i>
      <x v="21"/>
    </i>
    <i>
      <x/>
    </i>
    <i>
      <x v="24"/>
    </i>
    <i>
      <x v="38"/>
    </i>
    <i>
      <x v="3"/>
    </i>
    <i>
      <x v="4"/>
    </i>
    <i>
      <x v="11"/>
    </i>
    <i>
      <x v="32"/>
    </i>
    <i>
      <x v="15"/>
    </i>
    <i>
      <x v="36"/>
    </i>
    <i>
      <x v="34"/>
    </i>
    <i>
      <x v="40"/>
    </i>
    <i>
      <x v="19"/>
    </i>
    <i>
      <x v="20"/>
    </i>
    <i>
      <x v="31"/>
    </i>
    <i>
      <x v="23"/>
    </i>
    <i>
      <x v="7"/>
    </i>
    <i>
      <x v="18"/>
    </i>
    <i>
      <x v="6"/>
    </i>
    <i>
      <x v="25"/>
    </i>
    <i>
      <x v="39"/>
    </i>
    <i>
      <x v="1"/>
    </i>
    <i>
      <x v="10"/>
    </i>
    <i>
      <x v="27"/>
    </i>
    <i>
      <x v="13"/>
    </i>
    <i>
      <x v="35"/>
    </i>
    <i>
      <x v="5"/>
    </i>
    <i>
      <x v="2"/>
    </i>
    <i>
      <x v="16"/>
    </i>
    <i>
      <x v="26"/>
    </i>
    <i>
      <x v="8"/>
    </i>
    <i>
      <x v="22"/>
    </i>
    <i t="grand">
      <x/>
    </i>
  </rowItems>
  <colItems count="1">
    <i/>
  </colItems>
  <pageFields count="3">
    <pageField fld="4" hier="-1"/>
    <pageField fld="3" hier="-1"/>
    <pageField fld="2" hier="-1"/>
  </pageFields>
  <dataFields count="1">
    <dataField name="Sum of Sales(millions)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B0E22-CADA-42E8-ABD5-115BAE59A62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0" firstHeaderRow="1" firstDataRow="1" firstDataCol="1"/>
  <pivotFields count="10">
    <pivotField axis="axisRow" showAll="0" sortType="descending">
      <items count="43">
        <item x="11"/>
        <item x="31"/>
        <item x="37"/>
        <item x="14"/>
        <item x="15"/>
        <item x="36"/>
        <item x="28"/>
        <item x="26"/>
        <item x="40"/>
        <item x="1"/>
        <item x="32"/>
        <item x="16"/>
        <item x="9"/>
        <item x="34"/>
        <item x="4"/>
        <item x="18"/>
        <item x="38"/>
        <item x="0"/>
        <item x="27"/>
        <item x="22"/>
        <item x="23"/>
        <item x="10"/>
        <item x="41"/>
        <item x="25"/>
        <item x="12"/>
        <item x="29"/>
        <item x="39"/>
        <item x="33"/>
        <item x="5"/>
        <item x="3"/>
        <item x="8"/>
        <item x="24"/>
        <item x="17"/>
        <item x="6"/>
        <item x="20"/>
        <item x="35"/>
        <item x="19"/>
        <item x="7"/>
        <item x="13"/>
        <item x="30"/>
        <item x="2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27">
        <item x="15"/>
        <item x="16"/>
        <item x="10"/>
        <item x="19"/>
        <item x="7"/>
        <item x="25"/>
        <item x="18"/>
        <item x="12"/>
        <item x="20"/>
        <item x="21"/>
        <item x="14"/>
        <item x="23"/>
        <item x="24"/>
        <item x="0"/>
        <item x="22"/>
        <item x="2"/>
        <item x="4"/>
        <item x="11"/>
        <item x="17"/>
        <item x="8"/>
        <item x="9"/>
        <item x="5"/>
        <item x="6"/>
        <item x="3"/>
        <item x="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9">
        <item x="8"/>
        <item x="10"/>
        <item x="7"/>
        <item x="11"/>
        <item x="5"/>
        <item x="6"/>
        <item x="14"/>
        <item x="13"/>
        <item x="3"/>
        <item x="0"/>
        <item x="2"/>
        <item x="12"/>
        <item x="4"/>
        <item x="1"/>
        <item x="15"/>
        <item x="16"/>
        <item x="17"/>
        <item x="9"/>
        <item t="default"/>
      </items>
    </pivotField>
    <pivotField showAll="0"/>
    <pivotField showAll="0"/>
    <pivotField showAll="0"/>
    <pivotField dataField="1" numFmtId="2" showAll="0"/>
    <pivotField showAll="0"/>
    <pivotField showAll="0"/>
  </pivotFields>
  <rowFields count="2">
    <field x="2"/>
    <field x="0"/>
  </rowFields>
  <rowItems count="69">
    <i>
      <x v="13"/>
    </i>
    <i r="1">
      <x v="17"/>
    </i>
    <i>
      <x v="15"/>
    </i>
    <i r="1">
      <x v="41"/>
    </i>
    <i r="1">
      <x v="38"/>
    </i>
    <i r="1">
      <x v="15"/>
    </i>
    <i r="1">
      <x v="40"/>
    </i>
    <i r="1">
      <x v="19"/>
    </i>
    <i r="1">
      <x v="20"/>
    </i>
    <i r="1">
      <x v="39"/>
    </i>
    <i>
      <x v="24"/>
    </i>
    <i r="1">
      <x v="9"/>
    </i>
    <i r="1">
      <x v="10"/>
    </i>
    <i>
      <x v="7"/>
    </i>
    <i r="1">
      <x v="24"/>
    </i>
    <i r="1">
      <x v="23"/>
    </i>
    <i r="1">
      <x v="25"/>
    </i>
    <i r="1">
      <x v="27"/>
    </i>
    <i r="1">
      <x v="26"/>
    </i>
    <i r="1">
      <x v="22"/>
    </i>
    <i>
      <x v="17"/>
    </i>
    <i r="1">
      <x/>
    </i>
    <i r="1">
      <x v="36"/>
    </i>
    <i r="1">
      <x v="31"/>
    </i>
    <i>
      <x v="23"/>
    </i>
    <i r="1">
      <x v="29"/>
    </i>
    <i>
      <x v="16"/>
    </i>
    <i r="1">
      <x v="14"/>
    </i>
    <i>
      <x v="21"/>
    </i>
    <i r="1">
      <x v="28"/>
    </i>
    <i>
      <x v="25"/>
    </i>
    <i r="1">
      <x v="3"/>
    </i>
    <i r="1">
      <x v="2"/>
    </i>
    <i>
      <x v="22"/>
    </i>
    <i r="1">
      <x v="33"/>
    </i>
    <i>
      <x v="18"/>
    </i>
    <i r="1">
      <x v="34"/>
    </i>
    <i r="1">
      <x v="6"/>
    </i>
    <i>
      <x v="4"/>
    </i>
    <i r="1">
      <x v="37"/>
    </i>
    <i>
      <x v="19"/>
    </i>
    <i r="1">
      <x v="30"/>
    </i>
    <i>
      <x v="20"/>
    </i>
    <i r="1">
      <x v="12"/>
    </i>
    <i>
      <x v="2"/>
    </i>
    <i r="1">
      <x v="21"/>
    </i>
    <i>
      <x v="10"/>
    </i>
    <i r="1">
      <x v="4"/>
    </i>
    <i>
      <x/>
    </i>
    <i r="1">
      <x v="11"/>
    </i>
    <i>
      <x v="1"/>
    </i>
    <i r="1">
      <x v="32"/>
    </i>
    <i>
      <x v="6"/>
    </i>
    <i r="1">
      <x v="7"/>
    </i>
    <i>
      <x v="3"/>
    </i>
    <i r="1">
      <x v="18"/>
    </i>
    <i>
      <x v="8"/>
    </i>
    <i r="1">
      <x v="1"/>
    </i>
    <i>
      <x v="9"/>
    </i>
    <i r="1">
      <x v="13"/>
    </i>
    <i>
      <x v="14"/>
    </i>
    <i r="1">
      <x v="35"/>
    </i>
    <i>
      <x v="11"/>
    </i>
    <i r="1">
      <x v="5"/>
    </i>
    <i>
      <x v="12"/>
    </i>
    <i r="1">
      <x v="16"/>
    </i>
    <i>
      <x v="5"/>
    </i>
    <i r="1">
      <x v="8"/>
    </i>
    <i t="grand">
      <x/>
    </i>
  </rowItems>
  <colItems count="1">
    <i/>
  </colItems>
  <dataFields count="1">
    <dataField name="Sum of Sales(millions)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E8C9D-2D33-4910-AD6F-7440F954E590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2" firstHeaderRow="1" firstDataRow="1" firstDataCol="1" rowPageCount="1" colPageCount="1"/>
  <pivotFields count="10">
    <pivotField axis="axisRow" showAll="0" sortType="descending">
      <items count="43">
        <item x="11"/>
        <item x="31"/>
        <item x="37"/>
        <item x="14"/>
        <item x="15"/>
        <item x="36"/>
        <item x="28"/>
        <item x="26"/>
        <item x="40"/>
        <item x="1"/>
        <item x="32"/>
        <item x="16"/>
        <item x="9"/>
        <item x="34"/>
        <item x="4"/>
        <item x="18"/>
        <item x="38"/>
        <item x="0"/>
        <item x="27"/>
        <item x="22"/>
        <item x="23"/>
        <item x="10"/>
        <item x="41"/>
        <item x="25"/>
        <item x="12"/>
        <item x="29"/>
        <item x="39"/>
        <item x="33"/>
        <item x="5"/>
        <item x="3"/>
        <item x="8"/>
        <item x="24"/>
        <item x="17"/>
        <item x="6"/>
        <item x="20"/>
        <item x="35"/>
        <item x="19"/>
        <item x="7"/>
        <item x="13"/>
        <item x="30"/>
        <item x="2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2">
        <item x="7"/>
        <item x="4"/>
        <item x="6"/>
        <item x="0"/>
        <item x="9"/>
        <item x="5"/>
        <item x="3"/>
        <item x="10"/>
        <item x="8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7">
        <item x="15"/>
        <item x="16"/>
        <item x="10"/>
        <item x="19"/>
        <item x="7"/>
        <item x="25"/>
        <item x="18"/>
        <item x="12"/>
        <item x="20"/>
        <item x="21"/>
        <item x="14"/>
        <item x="23"/>
        <item x="24"/>
        <item x="0"/>
        <item x="22"/>
        <item x="2"/>
        <item x="4"/>
        <item x="11"/>
        <item x="17"/>
        <item x="8"/>
        <item x="9"/>
        <item x="5"/>
        <item x="6"/>
        <item x="3"/>
        <item x="1"/>
        <item x="13"/>
        <item t="default"/>
      </items>
    </pivotField>
    <pivotField showAll="0"/>
    <pivotField showAll="0"/>
    <pivotField showAll="0"/>
    <pivotField axis="axisPage" multipleItemSelectionAllowed="1" showAll="0" sortType="ascending">
      <items count="25">
        <item h="1" x="19"/>
        <item h="1" x="7"/>
        <item h="1" x="15"/>
        <item h="1" x="10"/>
        <item h="1" x="17"/>
        <item h="1" x="21"/>
        <item h="1" x="2"/>
        <item h="1" x="11"/>
        <item h="1" x="14"/>
        <item h="1" x="16"/>
        <item h="1" x="23"/>
        <item h="1" x="0"/>
        <item h="1" x="1"/>
        <item h="1" x="4"/>
        <item h="1" x="6"/>
        <item h="1" x="8"/>
        <item h="1" x="5"/>
        <item h="1" x="3"/>
        <item h="1" x="12"/>
        <item x="9"/>
        <item x="22"/>
        <item x="18"/>
        <item x="13"/>
        <item x="20"/>
        <item t="default"/>
      </items>
    </pivotField>
    <pivotField dataField="1" numFmtId="2" showAll="0"/>
    <pivotField showAll="0"/>
    <pivotField showAll="0"/>
  </pivotFields>
  <rowFields count="2">
    <field x="1"/>
    <field x="0"/>
  </rowFields>
  <rowItems count="9">
    <i>
      <x v="3"/>
    </i>
    <i r="1">
      <x v="11"/>
    </i>
    <i r="1">
      <x v="7"/>
    </i>
    <i r="1">
      <x v="1"/>
    </i>
    <i r="1">
      <x v="13"/>
    </i>
    <i>
      <x v="6"/>
    </i>
    <i r="1">
      <x/>
    </i>
    <i r="1">
      <x v="25"/>
    </i>
    <i t="grand">
      <x/>
    </i>
  </rowItems>
  <colItems count="1">
    <i/>
  </colItems>
  <pageFields count="1">
    <pageField fld="6" hier="-1"/>
  </pageFields>
  <dataFields count="1">
    <dataField name="Sum of Sales(millions)" fld="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51513-543A-45A0-A7D3-8ED96F2C2F61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5">
        <item x="19"/>
        <item x="7"/>
        <item x="15"/>
        <item x="10"/>
        <item x="17"/>
        <item x="21"/>
        <item x="2"/>
        <item x="11"/>
        <item x="14"/>
        <item x="16"/>
        <item x="23"/>
        <item x="0"/>
        <item x="1"/>
        <item x="4"/>
        <item x="6"/>
        <item x="8"/>
        <item x="5"/>
        <item x="3"/>
        <item x="12"/>
        <item x="9"/>
        <item x="22"/>
        <item x="18"/>
        <item x="1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showAll="0"/>
  </pivotFields>
  <rowFields count="1">
    <field x="7"/>
  </rowFields>
  <rowItems count="25">
    <i>
      <x v="11"/>
    </i>
    <i>
      <x v="12"/>
    </i>
    <i>
      <x v="6"/>
    </i>
    <i>
      <x v="17"/>
    </i>
    <i>
      <x v="16"/>
    </i>
    <i>
      <x v="15"/>
    </i>
    <i>
      <x v="14"/>
    </i>
    <i>
      <x v="13"/>
    </i>
    <i>
      <x v="18"/>
    </i>
    <i>
      <x v="9"/>
    </i>
    <i>
      <x v="21"/>
    </i>
    <i>
      <x v="1"/>
    </i>
    <i>
      <x v="19"/>
    </i>
    <i>
      <x v="3"/>
    </i>
    <i>
      <x v="7"/>
    </i>
    <i>
      <x v="22"/>
    </i>
    <i>
      <x v="8"/>
    </i>
    <i>
      <x v="2"/>
    </i>
    <i>
      <x v="4"/>
    </i>
    <i>
      <x/>
    </i>
    <i>
      <x v="23"/>
    </i>
    <i>
      <x v="5"/>
    </i>
    <i>
      <x v="20"/>
    </i>
    <i>
      <x v="10"/>
    </i>
    <i t="grand">
      <x/>
    </i>
  </rowItems>
  <colItems count="1">
    <i/>
  </colItems>
  <dataFields count="1">
    <dataField name="Sum of Sales(millions)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B22" zoomScaleNormal="100" workbookViewId="0">
      <selection sqref="A1:J51"/>
    </sheetView>
  </sheetViews>
  <sheetFormatPr defaultColWidth="11.5546875" defaultRowHeight="13.2" x14ac:dyDescent="0.25"/>
  <cols>
    <col min="1" max="1" width="28.5546875" customWidth="1"/>
    <col min="2" max="2" width="33.6640625" customWidth="1"/>
    <col min="3" max="3" width="14.6640625" customWidth="1"/>
    <col min="4" max="4" width="31.6640625" customWidth="1"/>
    <col min="5" max="5" width="26.6640625" customWidth="1"/>
    <col min="6" max="6" width="4.88671875" customWidth="1"/>
    <col min="7" max="7" width="22" customWidth="1"/>
    <col min="8" max="8" width="17.88671875" customWidth="1"/>
    <col min="9" max="9" width="18.109375" customWidth="1"/>
    <col min="10" max="10" width="13.2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12</v>
      </c>
      <c r="G2" t="s">
        <v>13</v>
      </c>
      <c r="H2">
        <v>350</v>
      </c>
      <c r="I2" t="s">
        <v>10</v>
      </c>
      <c r="J2">
        <v>1</v>
      </c>
    </row>
    <row r="3" spans="1:10" x14ac:dyDescent="0.25">
      <c r="A3">
        <v>2</v>
      </c>
      <c r="B3" t="s">
        <v>14</v>
      </c>
      <c r="C3" t="s">
        <v>11</v>
      </c>
      <c r="D3" t="s">
        <v>15</v>
      </c>
      <c r="E3" t="s">
        <v>16</v>
      </c>
      <c r="G3">
        <v>2013</v>
      </c>
      <c r="H3">
        <v>225</v>
      </c>
      <c r="I3" t="s">
        <v>17</v>
      </c>
      <c r="J3">
        <v>1</v>
      </c>
    </row>
    <row r="4" spans="1:10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G4">
        <v>2006</v>
      </c>
      <c r="H4">
        <v>82.9</v>
      </c>
      <c r="I4" t="s">
        <v>19</v>
      </c>
      <c r="J4">
        <v>1</v>
      </c>
    </row>
    <row r="5" spans="1:10" x14ac:dyDescent="0.25">
      <c r="A5">
        <v>4</v>
      </c>
      <c r="B5" t="s">
        <v>22</v>
      </c>
      <c r="C5" t="s">
        <v>11</v>
      </c>
      <c r="D5" t="s">
        <v>16</v>
      </c>
      <c r="E5" t="s">
        <v>16</v>
      </c>
      <c r="G5">
        <v>2018</v>
      </c>
      <c r="H5">
        <v>82</v>
      </c>
      <c r="I5" t="s">
        <v>23</v>
      </c>
      <c r="J5">
        <v>1</v>
      </c>
    </row>
    <row r="6" spans="1:10" x14ac:dyDescent="0.25">
      <c r="A6">
        <v>5</v>
      </c>
      <c r="B6" t="s">
        <v>24</v>
      </c>
      <c r="C6" t="s">
        <v>25</v>
      </c>
      <c r="D6" t="s">
        <v>26</v>
      </c>
      <c r="E6" t="s">
        <v>21</v>
      </c>
      <c r="F6" t="s">
        <v>27</v>
      </c>
      <c r="G6">
        <v>2014</v>
      </c>
      <c r="H6">
        <v>79.05</v>
      </c>
      <c r="I6" t="s">
        <v>28</v>
      </c>
      <c r="J6">
        <v>1</v>
      </c>
    </row>
    <row r="7" spans="1:10" x14ac:dyDescent="0.25">
      <c r="A7">
        <v>6</v>
      </c>
      <c r="B7" t="s">
        <v>29</v>
      </c>
      <c r="C7" t="s">
        <v>11</v>
      </c>
      <c r="D7" t="s">
        <v>30</v>
      </c>
      <c r="E7" t="s">
        <v>31</v>
      </c>
      <c r="G7">
        <v>2017</v>
      </c>
      <c r="H7">
        <v>75</v>
      </c>
      <c r="I7" t="s">
        <v>32</v>
      </c>
      <c r="J7">
        <v>1</v>
      </c>
    </row>
    <row r="8" spans="1:10" x14ac:dyDescent="0.25">
      <c r="A8">
        <v>7</v>
      </c>
      <c r="B8" t="s">
        <v>33</v>
      </c>
      <c r="C8" t="s">
        <v>11</v>
      </c>
      <c r="D8" t="s">
        <v>34</v>
      </c>
      <c r="E8" t="s">
        <v>35</v>
      </c>
      <c r="G8">
        <v>2011</v>
      </c>
      <c r="H8">
        <v>64</v>
      </c>
      <c r="I8" t="s">
        <v>36</v>
      </c>
      <c r="J8">
        <v>1</v>
      </c>
    </row>
    <row r="9" spans="1:10" x14ac:dyDescent="0.25">
      <c r="A9">
        <v>8</v>
      </c>
      <c r="B9" t="s">
        <v>37</v>
      </c>
      <c r="C9" t="s">
        <v>11</v>
      </c>
      <c r="D9" t="s">
        <v>38</v>
      </c>
      <c r="E9" t="s">
        <v>39</v>
      </c>
      <c r="G9">
        <v>2015</v>
      </c>
      <c r="H9">
        <v>60</v>
      </c>
      <c r="I9" t="s">
        <v>40</v>
      </c>
      <c r="J9">
        <v>1</v>
      </c>
    </row>
    <row r="10" spans="1:10" x14ac:dyDescent="0.25">
      <c r="A10">
        <v>9</v>
      </c>
      <c r="B10" t="s">
        <v>41</v>
      </c>
      <c r="C10" t="s">
        <v>11</v>
      </c>
      <c r="D10" t="s">
        <v>42</v>
      </c>
      <c r="E10" t="s">
        <v>21</v>
      </c>
      <c r="G10">
        <v>1985</v>
      </c>
      <c r="H10">
        <v>58</v>
      </c>
      <c r="I10" t="s">
        <v>43</v>
      </c>
      <c r="J10">
        <v>1</v>
      </c>
    </row>
    <row r="11" spans="1:10" x14ac:dyDescent="0.25">
      <c r="A11">
        <v>10</v>
      </c>
      <c r="B11" t="s">
        <v>44</v>
      </c>
      <c r="C11" t="s">
        <v>11</v>
      </c>
      <c r="D11" t="s">
        <v>45</v>
      </c>
      <c r="E11" t="s">
        <v>46</v>
      </c>
      <c r="G11">
        <v>2016</v>
      </c>
      <c r="H11">
        <v>55</v>
      </c>
      <c r="I11" t="s">
        <v>36</v>
      </c>
      <c r="J11">
        <v>1</v>
      </c>
    </row>
    <row r="12" spans="1:10" x14ac:dyDescent="0.25">
      <c r="A12">
        <v>11</v>
      </c>
      <c r="B12" t="s">
        <v>47</v>
      </c>
      <c r="C12" t="s">
        <v>11</v>
      </c>
      <c r="D12" t="s">
        <v>48</v>
      </c>
      <c r="E12" t="s">
        <v>48</v>
      </c>
      <c r="G12">
        <v>2016</v>
      </c>
      <c r="H12">
        <v>50</v>
      </c>
      <c r="I12" t="s">
        <v>47</v>
      </c>
      <c r="J12">
        <v>1</v>
      </c>
    </row>
    <row r="13" spans="1:10" x14ac:dyDescent="0.25">
      <c r="A13" t="s">
        <v>49</v>
      </c>
      <c r="B13">
        <v>50</v>
      </c>
      <c r="C13">
        <v>2000</v>
      </c>
      <c r="D13" t="s">
        <v>50</v>
      </c>
      <c r="G13" t="s">
        <v>51</v>
      </c>
      <c r="H13" t="s">
        <v>49</v>
      </c>
      <c r="I13" t="s">
        <v>11</v>
      </c>
      <c r="J13">
        <v>1</v>
      </c>
    </row>
    <row r="14" spans="1:10" x14ac:dyDescent="0.25">
      <c r="A14" t="s">
        <v>52</v>
      </c>
      <c r="B14">
        <v>50</v>
      </c>
      <c r="C14">
        <v>2016</v>
      </c>
      <c r="D14" t="s">
        <v>53</v>
      </c>
      <c r="G14" t="s">
        <v>54</v>
      </c>
      <c r="H14" t="s">
        <v>36</v>
      </c>
      <c r="I14" t="s">
        <v>11</v>
      </c>
      <c r="J14">
        <v>1</v>
      </c>
    </row>
    <row r="15" spans="1:10" x14ac:dyDescent="0.25">
      <c r="A15">
        <v>14</v>
      </c>
      <c r="B15" t="s">
        <v>55</v>
      </c>
      <c r="C15" t="s">
        <v>56</v>
      </c>
      <c r="D15" t="s">
        <v>57</v>
      </c>
      <c r="E15" t="s">
        <v>21</v>
      </c>
      <c r="G15">
        <v>2020</v>
      </c>
      <c r="H15">
        <v>49.32</v>
      </c>
      <c r="I15" t="s">
        <v>58</v>
      </c>
      <c r="J15">
        <v>1</v>
      </c>
    </row>
    <row r="16" spans="1:10" x14ac:dyDescent="0.25">
      <c r="A16">
        <v>15</v>
      </c>
      <c r="B16" t="s">
        <v>59</v>
      </c>
      <c r="C16" t="s">
        <v>11</v>
      </c>
      <c r="D16" t="s">
        <v>60</v>
      </c>
      <c r="E16" t="s">
        <v>21</v>
      </c>
      <c r="F16" t="s">
        <v>61</v>
      </c>
      <c r="G16">
        <v>1996</v>
      </c>
      <c r="H16">
        <v>47.44</v>
      </c>
      <c r="I16" t="s">
        <v>62</v>
      </c>
      <c r="J16">
        <v>1</v>
      </c>
    </row>
    <row r="17" spans="1:10" x14ac:dyDescent="0.25">
      <c r="A17">
        <v>16</v>
      </c>
      <c r="B17" t="s">
        <v>63</v>
      </c>
      <c r="C17" t="s">
        <v>19</v>
      </c>
      <c r="D17" t="s">
        <v>20</v>
      </c>
      <c r="E17" t="s">
        <v>21</v>
      </c>
      <c r="F17" t="s">
        <v>64</v>
      </c>
      <c r="G17">
        <v>2007</v>
      </c>
      <c r="H17">
        <v>43.8</v>
      </c>
      <c r="I17" t="s">
        <v>19</v>
      </c>
      <c r="J17">
        <v>1</v>
      </c>
    </row>
    <row r="18" spans="1:10" x14ac:dyDescent="0.25">
      <c r="A18">
        <v>17</v>
      </c>
      <c r="B18" t="s">
        <v>65</v>
      </c>
      <c r="C18" t="s">
        <v>11</v>
      </c>
      <c r="D18" t="s">
        <v>66</v>
      </c>
      <c r="E18" t="s">
        <v>67</v>
      </c>
      <c r="G18">
        <v>2015</v>
      </c>
      <c r="H18">
        <v>43</v>
      </c>
      <c r="I18" t="s">
        <v>68</v>
      </c>
      <c r="J18">
        <v>1</v>
      </c>
    </row>
    <row r="19" spans="1:10" x14ac:dyDescent="0.25">
      <c r="A19">
        <v>18</v>
      </c>
      <c r="B19" t="s">
        <v>69</v>
      </c>
      <c r="C19" t="s">
        <v>11</v>
      </c>
      <c r="D19" t="s">
        <v>70</v>
      </c>
      <c r="E19" t="s">
        <v>67</v>
      </c>
      <c r="G19">
        <v>2019</v>
      </c>
      <c r="H19">
        <v>41</v>
      </c>
      <c r="I19" t="s">
        <v>68</v>
      </c>
      <c r="J19">
        <v>1</v>
      </c>
    </row>
    <row r="20" spans="1:10" x14ac:dyDescent="0.25">
      <c r="A20">
        <v>19</v>
      </c>
      <c r="B20" t="s">
        <v>71</v>
      </c>
      <c r="C20" t="s">
        <v>11</v>
      </c>
      <c r="D20" t="s">
        <v>72</v>
      </c>
      <c r="E20" t="s">
        <v>73</v>
      </c>
      <c r="G20">
        <v>2023</v>
      </c>
      <c r="H20">
        <v>40</v>
      </c>
      <c r="I20" t="s">
        <v>74</v>
      </c>
      <c r="J20">
        <v>1</v>
      </c>
    </row>
    <row r="21" spans="1:10" x14ac:dyDescent="0.25">
      <c r="A21" t="s">
        <v>75</v>
      </c>
      <c r="B21">
        <v>40</v>
      </c>
      <c r="C21">
        <v>2013</v>
      </c>
      <c r="D21" t="s">
        <v>76</v>
      </c>
      <c r="G21" t="s">
        <v>77</v>
      </c>
      <c r="H21" t="s">
        <v>78</v>
      </c>
      <c r="I21" t="s">
        <v>11</v>
      </c>
      <c r="J21">
        <v>1</v>
      </c>
    </row>
    <row r="22" spans="1:10" x14ac:dyDescent="0.25">
      <c r="A22" t="s">
        <v>79</v>
      </c>
      <c r="B22">
        <v>40</v>
      </c>
      <c r="C22">
        <v>1991</v>
      </c>
      <c r="D22" t="s">
        <v>80</v>
      </c>
      <c r="G22" t="s">
        <v>81</v>
      </c>
      <c r="H22" t="s">
        <v>82</v>
      </c>
      <c r="I22" t="s">
        <v>11</v>
      </c>
      <c r="J22">
        <v>1</v>
      </c>
    </row>
    <row r="23" spans="1:10" x14ac:dyDescent="0.25">
      <c r="A23">
        <v>22</v>
      </c>
      <c r="B23" t="s">
        <v>83</v>
      </c>
      <c r="C23" t="s">
        <v>56</v>
      </c>
      <c r="D23" t="s">
        <v>84</v>
      </c>
      <c r="E23" t="s">
        <v>21</v>
      </c>
      <c r="G23">
        <v>2018</v>
      </c>
      <c r="H23">
        <v>37.44</v>
      </c>
      <c r="I23" t="s">
        <v>85</v>
      </c>
      <c r="J23">
        <v>1</v>
      </c>
    </row>
    <row r="24" spans="1:10" x14ac:dyDescent="0.25">
      <c r="A24">
        <v>23</v>
      </c>
      <c r="B24" t="s">
        <v>86</v>
      </c>
      <c r="C24" t="s">
        <v>19</v>
      </c>
      <c r="D24" t="s">
        <v>20</v>
      </c>
      <c r="E24" t="s">
        <v>21</v>
      </c>
      <c r="G24">
        <v>2008</v>
      </c>
      <c r="H24">
        <v>37.380000000000003</v>
      </c>
      <c r="I24" t="s">
        <v>28</v>
      </c>
      <c r="J24">
        <v>1</v>
      </c>
    </row>
    <row r="25" spans="1:10" x14ac:dyDescent="0.25">
      <c r="A25">
        <v>24</v>
      </c>
      <c r="B25" t="s">
        <v>87</v>
      </c>
      <c r="C25" t="s">
        <v>11</v>
      </c>
      <c r="D25" t="s">
        <v>57</v>
      </c>
      <c r="E25" t="s">
        <v>21</v>
      </c>
      <c r="F25" t="s">
        <v>88</v>
      </c>
      <c r="G25">
        <v>2017</v>
      </c>
      <c r="H25">
        <v>35.340000000000003</v>
      </c>
      <c r="I25" t="s">
        <v>89</v>
      </c>
      <c r="J25">
        <v>1</v>
      </c>
    </row>
    <row r="26" spans="1:10" x14ac:dyDescent="0.25">
      <c r="A26">
        <v>25</v>
      </c>
      <c r="B26" t="s">
        <v>90</v>
      </c>
      <c r="C26" t="s">
        <v>91</v>
      </c>
      <c r="D26" t="s">
        <v>92</v>
      </c>
      <c r="E26" t="s">
        <v>21</v>
      </c>
      <c r="G26">
        <v>1989</v>
      </c>
      <c r="H26">
        <v>35</v>
      </c>
      <c r="I26" t="s">
        <v>93</v>
      </c>
      <c r="J26">
        <v>1</v>
      </c>
    </row>
    <row r="27" spans="1:10" x14ac:dyDescent="0.25">
      <c r="A27" t="s">
        <v>94</v>
      </c>
      <c r="B27">
        <v>35</v>
      </c>
      <c r="C27">
        <v>2020</v>
      </c>
      <c r="D27" t="s">
        <v>39</v>
      </c>
      <c r="G27" t="s">
        <v>38</v>
      </c>
      <c r="H27" t="s">
        <v>95</v>
      </c>
      <c r="I27" t="s">
        <v>11</v>
      </c>
      <c r="J27">
        <v>1</v>
      </c>
    </row>
    <row r="28" spans="1:10" x14ac:dyDescent="0.25">
      <c r="A28">
        <v>27</v>
      </c>
      <c r="B28" t="s">
        <v>96</v>
      </c>
      <c r="C28" t="s">
        <v>19</v>
      </c>
      <c r="D28" t="s">
        <v>20</v>
      </c>
      <c r="E28" t="s">
        <v>21</v>
      </c>
      <c r="G28">
        <v>2009</v>
      </c>
      <c r="H28">
        <v>33.14</v>
      </c>
      <c r="I28" t="s">
        <v>19</v>
      </c>
      <c r="J28">
        <v>1</v>
      </c>
    </row>
    <row r="29" spans="1:10" x14ac:dyDescent="0.25">
      <c r="A29">
        <v>28</v>
      </c>
      <c r="B29" t="s">
        <v>97</v>
      </c>
      <c r="C29" t="s">
        <v>98</v>
      </c>
      <c r="D29" t="s">
        <v>20</v>
      </c>
      <c r="E29" t="s">
        <v>21</v>
      </c>
      <c r="G29">
        <v>2006</v>
      </c>
      <c r="H29">
        <v>30.8</v>
      </c>
      <c r="I29" t="s">
        <v>43</v>
      </c>
      <c r="J29">
        <v>1</v>
      </c>
    </row>
    <row r="30" spans="1:10" x14ac:dyDescent="0.25">
      <c r="A30">
        <v>29</v>
      </c>
      <c r="B30" t="s">
        <v>99</v>
      </c>
      <c r="C30" t="s">
        <v>19</v>
      </c>
      <c r="D30" t="s">
        <v>20</v>
      </c>
      <c r="E30" t="s">
        <v>21</v>
      </c>
      <c r="G30">
        <v>2009</v>
      </c>
      <c r="H30">
        <v>30.32</v>
      </c>
      <c r="I30" t="s">
        <v>43</v>
      </c>
      <c r="J30">
        <v>1</v>
      </c>
    </row>
    <row r="31" spans="1:10" x14ac:dyDescent="0.25">
      <c r="A31">
        <v>30</v>
      </c>
      <c r="B31" t="s">
        <v>100</v>
      </c>
      <c r="C31" t="s">
        <v>56</v>
      </c>
      <c r="D31" t="s">
        <v>57</v>
      </c>
      <c r="E31" t="s">
        <v>21</v>
      </c>
      <c r="G31">
        <v>2017</v>
      </c>
      <c r="H31">
        <v>30.27</v>
      </c>
      <c r="I31" t="s">
        <v>43</v>
      </c>
      <c r="J31">
        <v>1</v>
      </c>
    </row>
    <row r="32" spans="1:10" x14ac:dyDescent="0.25">
      <c r="A32">
        <v>31</v>
      </c>
      <c r="B32" t="s">
        <v>101</v>
      </c>
      <c r="C32" t="s">
        <v>102</v>
      </c>
      <c r="D32" t="s">
        <v>60</v>
      </c>
      <c r="E32" t="s">
        <v>21</v>
      </c>
      <c r="F32" t="s">
        <v>103</v>
      </c>
      <c r="G32">
        <v>1999</v>
      </c>
      <c r="H32">
        <v>30.12</v>
      </c>
      <c r="I32" t="s">
        <v>62</v>
      </c>
      <c r="J32">
        <v>1</v>
      </c>
    </row>
    <row r="33" spans="1:10" x14ac:dyDescent="0.25">
      <c r="A33">
        <v>32</v>
      </c>
      <c r="B33" t="s">
        <v>104</v>
      </c>
      <c r="C33" t="s">
        <v>11</v>
      </c>
      <c r="D33" t="s">
        <v>105</v>
      </c>
      <c r="E33" t="s">
        <v>106</v>
      </c>
      <c r="G33">
        <v>2022</v>
      </c>
      <c r="H33">
        <v>30</v>
      </c>
      <c r="I33" t="s">
        <v>104</v>
      </c>
      <c r="J33">
        <v>1</v>
      </c>
    </row>
    <row r="34" spans="1:10" x14ac:dyDescent="0.25">
      <c r="A34" t="s">
        <v>107</v>
      </c>
      <c r="B34">
        <v>30</v>
      </c>
      <c r="C34">
        <v>2012</v>
      </c>
      <c r="D34" t="s">
        <v>108</v>
      </c>
      <c r="G34" t="s">
        <v>109</v>
      </c>
      <c r="H34" t="s">
        <v>110</v>
      </c>
      <c r="I34" t="s">
        <v>11</v>
      </c>
      <c r="J34">
        <v>1</v>
      </c>
    </row>
    <row r="35" spans="1:10" x14ac:dyDescent="0.25">
      <c r="A35" t="s">
        <v>111</v>
      </c>
      <c r="B35">
        <v>30</v>
      </c>
      <c r="C35">
        <v>2020</v>
      </c>
      <c r="D35" t="s">
        <v>67</v>
      </c>
      <c r="G35" t="s">
        <v>112</v>
      </c>
      <c r="H35" t="s">
        <v>68</v>
      </c>
      <c r="I35" t="s">
        <v>11</v>
      </c>
      <c r="J35">
        <v>1</v>
      </c>
    </row>
    <row r="36" spans="1:10" x14ac:dyDescent="0.25">
      <c r="A36" t="s">
        <v>113</v>
      </c>
      <c r="B36">
        <v>30</v>
      </c>
      <c r="C36">
        <v>2011</v>
      </c>
      <c r="D36" t="s">
        <v>114</v>
      </c>
      <c r="G36" t="s">
        <v>115</v>
      </c>
      <c r="H36" t="s">
        <v>116</v>
      </c>
      <c r="I36" t="s">
        <v>11</v>
      </c>
      <c r="J36">
        <v>1</v>
      </c>
    </row>
    <row r="37" spans="1:10" x14ac:dyDescent="0.25">
      <c r="A37">
        <v>36</v>
      </c>
      <c r="B37" t="s">
        <v>117</v>
      </c>
      <c r="C37" t="s">
        <v>11</v>
      </c>
      <c r="D37" t="s">
        <v>118</v>
      </c>
      <c r="E37" t="s">
        <v>118</v>
      </c>
      <c r="F37" t="s">
        <v>119</v>
      </c>
      <c r="G37">
        <v>2018</v>
      </c>
      <c r="H37">
        <v>29.1</v>
      </c>
      <c r="I37" t="s">
        <v>120</v>
      </c>
      <c r="J37">
        <v>1</v>
      </c>
    </row>
    <row r="38" spans="1:10" x14ac:dyDescent="0.25">
      <c r="A38">
        <v>37</v>
      </c>
      <c r="B38" t="s">
        <v>121</v>
      </c>
      <c r="C38" t="s">
        <v>122</v>
      </c>
      <c r="D38" t="s">
        <v>92</v>
      </c>
      <c r="E38" t="s">
        <v>21</v>
      </c>
      <c r="G38">
        <v>1984</v>
      </c>
      <c r="H38">
        <v>28.3</v>
      </c>
      <c r="I38" t="s">
        <v>36</v>
      </c>
      <c r="J38">
        <v>1</v>
      </c>
    </row>
    <row r="39" spans="1:10" x14ac:dyDescent="0.25">
      <c r="A39">
        <v>38</v>
      </c>
      <c r="B39" t="s">
        <v>123</v>
      </c>
      <c r="C39" t="s">
        <v>56</v>
      </c>
      <c r="D39" t="s">
        <v>60</v>
      </c>
      <c r="E39" t="s">
        <v>124</v>
      </c>
      <c r="G39">
        <v>2022</v>
      </c>
      <c r="H39">
        <v>28.08</v>
      </c>
      <c r="I39" t="s">
        <v>62</v>
      </c>
      <c r="J39">
        <v>1</v>
      </c>
    </row>
    <row r="40" spans="1:10" x14ac:dyDescent="0.25">
      <c r="A40">
        <v>39</v>
      </c>
      <c r="B40" t="s">
        <v>125</v>
      </c>
      <c r="C40" t="s">
        <v>19</v>
      </c>
      <c r="D40" t="s">
        <v>20</v>
      </c>
      <c r="E40" t="s">
        <v>21</v>
      </c>
      <c r="G40">
        <v>2006</v>
      </c>
      <c r="H40">
        <v>28.02</v>
      </c>
      <c r="I40" t="s">
        <v>19</v>
      </c>
      <c r="J40">
        <v>1</v>
      </c>
    </row>
    <row r="41" spans="1:10" x14ac:dyDescent="0.25">
      <c r="A41">
        <v>40</v>
      </c>
      <c r="B41" t="s">
        <v>126</v>
      </c>
      <c r="C41" t="s">
        <v>11</v>
      </c>
      <c r="D41" t="s">
        <v>127</v>
      </c>
      <c r="E41" t="s">
        <v>127</v>
      </c>
      <c r="G41">
        <v>2024</v>
      </c>
      <c r="H41">
        <v>28</v>
      </c>
      <c r="I41" t="s">
        <v>128</v>
      </c>
      <c r="J41">
        <v>1</v>
      </c>
    </row>
    <row r="42" spans="1:10" x14ac:dyDescent="0.25">
      <c r="A42">
        <v>41</v>
      </c>
      <c r="B42" t="s">
        <v>129</v>
      </c>
      <c r="C42" t="s">
        <v>11</v>
      </c>
      <c r="D42" t="s">
        <v>15</v>
      </c>
      <c r="E42" t="s">
        <v>16</v>
      </c>
      <c r="G42">
        <v>2004</v>
      </c>
      <c r="H42">
        <v>27.5</v>
      </c>
      <c r="I42" t="s">
        <v>17</v>
      </c>
      <c r="J42">
        <v>1</v>
      </c>
    </row>
    <row r="43" spans="1:10" x14ac:dyDescent="0.25">
      <c r="A43">
        <v>42</v>
      </c>
      <c r="B43" t="s">
        <v>130</v>
      </c>
      <c r="C43" t="s">
        <v>56</v>
      </c>
      <c r="D43" t="s">
        <v>60</v>
      </c>
      <c r="E43" t="s">
        <v>124</v>
      </c>
      <c r="G43">
        <v>2019</v>
      </c>
      <c r="H43">
        <v>27.08</v>
      </c>
      <c r="I43" t="s">
        <v>62</v>
      </c>
      <c r="J43">
        <v>1</v>
      </c>
    </row>
    <row r="44" spans="1:10" x14ac:dyDescent="0.25">
      <c r="A44">
        <v>43</v>
      </c>
      <c r="B44" t="s">
        <v>131</v>
      </c>
      <c r="C44" t="s">
        <v>11</v>
      </c>
      <c r="D44" t="s">
        <v>132</v>
      </c>
      <c r="E44" t="s">
        <v>50</v>
      </c>
      <c r="G44">
        <v>2021</v>
      </c>
      <c r="H44">
        <v>27</v>
      </c>
      <c r="I44" t="s">
        <v>36</v>
      </c>
      <c r="J44">
        <v>1</v>
      </c>
    </row>
    <row r="45" spans="1:10" x14ac:dyDescent="0.25">
      <c r="A45">
        <v>44</v>
      </c>
      <c r="B45" t="s">
        <v>133</v>
      </c>
      <c r="C45" t="s">
        <v>134</v>
      </c>
      <c r="D45" t="s">
        <v>135</v>
      </c>
      <c r="E45" t="s">
        <v>136</v>
      </c>
      <c r="F45" t="s">
        <v>137</v>
      </c>
      <c r="G45">
        <v>2013</v>
      </c>
      <c r="H45">
        <v>26.6</v>
      </c>
      <c r="I45" t="s">
        <v>138</v>
      </c>
      <c r="J45">
        <v>1</v>
      </c>
    </row>
    <row r="46" spans="1:10" x14ac:dyDescent="0.25">
      <c r="A46">
        <v>45</v>
      </c>
      <c r="B46" t="s">
        <v>139</v>
      </c>
      <c r="C46" t="s">
        <v>11</v>
      </c>
      <c r="D46" t="s">
        <v>140</v>
      </c>
      <c r="E46" t="s">
        <v>67</v>
      </c>
      <c r="G46">
        <v>2011</v>
      </c>
      <c r="H46">
        <v>26.5</v>
      </c>
      <c r="I46" t="s">
        <v>68</v>
      </c>
      <c r="J46">
        <v>1</v>
      </c>
    </row>
    <row r="47" spans="1:10" x14ac:dyDescent="0.25">
      <c r="A47">
        <v>46</v>
      </c>
      <c r="B47" t="s">
        <v>141</v>
      </c>
      <c r="C47" t="s">
        <v>11</v>
      </c>
      <c r="D47" t="s">
        <v>66</v>
      </c>
      <c r="E47" t="s">
        <v>67</v>
      </c>
      <c r="G47">
        <v>2010</v>
      </c>
      <c r="H47">
        <v>26.2</v>
      </c>
      <c r="I47" t="s">
        <v>68</v>
      </c>
      <c r="J47">
        <v>1</v>
      </c>
    </row>
    <row r="48" spans="1:10" x14ac:dyDescent="0.25">
      <c r="A48">
        <v>47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>
        <v>2018</v>
      </c>
      <c r="H48">
        <v>26.1</v>
      </c>
      <c r="I48" t="s">
        <v>147</v>
      </c>
      <c r="J48">
        <v>1</v>
      </c>
    </row>
    <row r="49" spans="1:10" x14ac:dyDescent="0.25">
      <c r="A49">
        <v>48</v>
      </c>
      <c r="B49" t="s">
        <v>148</v>
      </c>
      <c r="C49" t="s">
        <v>149</v>
      </c>
      <c r="D49" t="s">
        <v>60</v>
      </c>
      <c r="E49" t="s">
        <v>124</v>
      </c>
      <c r="F49" t="s">
        <v>150</v>
      </c>
      <c r="G49">
        <v>2016</v>
      </c>
      <c r="H49">
        <v>25.59</v>
      </c>
      <c r="I49" t="s">
        <v>62</v>
      </c>
      <c r="J49">
        <v>1</v>
      </c>
    </row>
    <row r="50" spans="1:10" x14ac:dyDescent="0.25">
      <c r="A50">
        <v>49</v>
      </c>
      <c r="B50" t="s">
        <v>151</v>
      </c>
      <c r="C50" t="s">
        <v>152</v>
      </c>
      <c r="D50" t="s">
        <v>153</v>
      </c>
      <c r="E50" t="s">
        <v>154</v>
      </c>
      <c r="G50">
        <v>2006</v>
      </c>
      <c r="H50">
        <v>25.56</v>
      </c>
      <c r="I50" t="s">
        <v>36</v>
      </c>
      <c r="J50">
        <v>1</v>
      </c>
    </row>
    <row r="51" spans="1:10" x14ac:dyDescent="0.25">
      <c r="A51">
        <v>50</v>
      </c>
      <c r="B51" t="s">
        <v>155</v>
      </c>
      <c r="C51" t="s">
        <v>98</v>
      </c>
      <c r="D51" t="s">
        <v>60</v>
      </c>
      <c r="E51" t="s">
        <v>124</v>
      </c>
      <c r="F51" t="s">
        <v>156</v>
      </c>
      <c r="G51">
        <v>2006</v>
      </c>
      <c r="H51">
        <v>25.5</v>
      </c>
      <c r="I51" t="s">
        <v>62</v>
      </c>
      <c r="J51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57D7-C6D7-4F48-A2B5-2D6E6197C2DB}">
  <dimension ref="A1:K43"/>
  <sheetViews>
    <sheetView topLeftCell="B14" workbookViewId="0">
      <selection activeCell="B5" sqref="B5"/>
    </sheetView>
  </sheetViews>
  <sheetFormatPr defaultRowHeight="13.2" x14ac:dyDescent="0.25"/>
  <cols>
    <col min="1" max="1" width="7.33203125" bestFit="1" customWidth="1"/>
    <col min="2" max="2" width="35.21875" bestFit="1" customWidth="1"/>
    <col min="3" max="3" width="14.5546875" bestFit="1" customWidth="1"/>
    <col min="4" max="4" width="31.77734375" bestFit="1" customWidth="1"/>
    <col min="5" max="5" width="28.5546875" bestFit="1" customWidth="1"/>
    <col min="6" max="6" width="6.5546875" bestFit="1" customWidth="1"/>
    <col min="7" max="7" width="21.88671875" bestFit="1" customWidth="1"/>
    <col min="8" max="8" width="20.77734375" bestFit="1" customWidth="1"/>
    <col min="9" max="9" width="17.6640625" bestFit="1" customWidth="1"/>
    <col min="10" max="10" width="17.7773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157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12</v>
      </c>
      <c r="G2" t="s">
        <v>13</v>
      </c>
      <c r="H2" t="str" cm="1">
        <f t="array" ref="H2:H43">LEFT(G2:G43,4)</f>
        <v>2011</v>
      </c>
      <c r="I2" s="1">
        <v>350</v>
      </c>
      <c r="J2" t="s">
        <v>10</v>
      </c>
      <c r="K2">
        <v>1</v>
      </c>
    </row>
    <row r="3" spans="1:11" x14ac:dyDescent="0.25">
      <c r="A3">
        <v>2</v>
      </c>
      <c r="B3" t="s">
        <v>14</v>
      </c>
      <c r="C3" t="s">
        <v>11</v>
      </c>
      <c r="D3" t="s">
        <v>15</v>
      </c>
      <c r="E3" t="s">
        <v>16</v>
      </c>
      <c r="G3">
        <v>2013</v>
      </c>
      <c r="H3" t="str">
        <v>2013</v>
      </c>
      <c r="I3" s="1">
        <v>225</v>
      </c>
      <c r="J3" t="s">
        <v>17</v>
      </c>
      <c r="K3">
        <v>1</v>
      </c>
    </row>
    <row r="4" spans="1:11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G4">
        <v>2006</v>
      </c>
      <c r="H4" t="str">
        <v>2006</v>
      </c>
      <c r="I4" s="1">
        <v>82.9</v>
      </c>
      <c r="J4" t="s">
        <v>19</v>
      </c>
      <c r="K4">
        <v>1</v>
      </c>
    </row>
    <row r="5" spans="1:11" x14ac:dyDescent="0.25">
      <c r="A5">
        <v>4</v>
      </c>
      <c r="B5" t="s">
        <v>22</v>
      </c>
      <c r="C5" t="s">
        <v>11</v>
      </c>
      <c r="D5" t="s">
        <v>16</v>
      </c>
      <c r="E5" t="s">
        <v>16</v>
      </c>
      <c r="G5">
        <v>2018</v>
      </c>
      <c r="H5" t="str">
        <v>2018</v>
      </c>
      <c r="I5" s="1">
        <v>82</v>
      </c>
      <c r="J5" t="s">
        <v>23</v>
      </c>
      <c r="K5">
        <v>1</v>
      </c>
    </row>
    <row r="6" spans="1:11" x14ac:dyDescent="0.25">
      <c r="A6">
        <v>5</v>
      </c>
      <c r="B6" t="s">
        <v>24</v>
      </c>
      <c r="C6" t="s">
        <v>25</v>
      </c>
      <c r="D6" t="s">
        <v>26</v>
      </c>
      <c r="E6" t="s">
        <v>21</v>
      </c>
      <c r="F6" t="s">
        <v>27</v>
      </c>
      <c r="G6">
        <v>2014</v>
      </c>
      <c r="H6" t="str">
        <v>2014</v>
      </c>
      <c r="I6" s="1">
        <v>79.05</v>
      </c>
      <c r="J6" t="s">
        <v>28</v>
      </c>
      <c r="K6">
        <v>1</v>
      </c>
    </row>
    <row r="7" spans="1:11" x14ac:dyDescent="0.25">
      <c r="A7">
        <v>6</v>
      </c>
      <c r="B7" t="s">
        <v>29</v>
      </c>
      <c r="C7" t="s">
        <v>11</v>
      </c>
      <c r="D7" t="s">
        <v>30</v>
      </c>
      <c r="E7" t="s">
        <v>31</v>
      </c>
      <c r="G7">
        <v>2017</v>
      </c>
      <c r="H7" t="str">
        <v>2017</v>
      </c>
      <c r="I7" s="1">
        <v>75</v>
      </c>
      <c r="J7" t="s">
        <v>32</v>
      </c>
      <c r="K7">
        <v>1</v>
      </c>
    </row>
    <row r="8" spans="1:11" x14ac:dyDescent="0.25">
      <c r="A8">
        <v>7</v>
      </c>
      <c r="B8" t="s">
        <v>33</v>
      </c>
      <c r="C8" t="s">
        <v>11</v>
      </c>
      <c r="D8" t="s">
        <v>34</v>
      </c>
      <c r="E8" t="s">
        <v>35</v>
      </c>
      <c r="G8">
        <v>2011</v>
      </c>
      <c r="H8" t="str">
        <v>2011</v>
      </c>
      <c r="I8" s="1">
        <v>64</v>
      </c>
      <c r="J8" t="s">
        <v>36</v>
      </c>
      <c r="K8">
        <v>1</v>
      </c>
    </row>
    <row r="9" spans="1:11" x14ac:dyDescent="0.25">
      <c r="A9">
        <v>8</v>
      </c>
      <c r="B9" t="s">
        <v>37</v>
      </c>
      <c r="C9" t="s">
        <v>11</v>
      </c>
      <c r="D9" t="s">
        <v>38</v>
      </c>
      <c r="E9" t="s">
        <v>39</v>
      </c>
      <c r="G9">
        <v>2015</v>
      </c>
      <c r="H9" t="str">
        <v>2015</v>
      </c>
      <c r="I9" s="1">
        <v>60</v>
      </c>
      <c r="J9" t="s">
        <v>40</v>
      </c>
      <c r="K9">
        <v>1</v>
      </c>
    </row>
    <row r="10" spans="1:11" x14ac:dyDescent="0.25">
      <c r="A10">
        <v>9</v>
      </c>
      <c r="B10" t="s">
        <v>41</v>
      </c>
      <c r="C10" t="s">
        <v>11</v>
      </c>
      <c r="D10" t="s">
        <v>42</v>
      </c>
      <c r="E10" t="s">
        <v>21</v>
      </c>
      <c r="G10">
        <v>1985</v>
      </c>
      <c r="H10" t="str">
        <v>1985</v>
      </c>
      <c r="I10" s="1">
        <v>58</v>
      </c>
      <c r="J10" t="s">
        <v>43</v>
      </c>
      <c r="K10">
        <v>1</v>
      </c>
    </row>
    <row r="11" spans="1:11" x14ac:dyDescent="0.25">
      <c r="A11">
        <v>10</v>
      </c>
      <c r="B11" t="s">
        <v>44</v>
      </c>
      <c r="C11" t="s">
        <v>11</v>
      </c>
      <c r="D11" t="s">
        <v>45</v>
      </c>
      <c r="E11" t="s">
        <v>46</v>
      </c>
      <c r="G11">
        <v>2016</v>
      </c>
      <c r="H11" t="str">
        <v>2016</v>
      </c>
      <c r="I11" s="1">
        <v>55</v>
      </c>
      <c r="J11" t="s">
        <v>36</v>
      </c>
      <c r="K11">
        <v>1</v>
      </c>
    </row>
    <row r="12" spans="1:11" x14ac:dyDescent="0.25">
      <c r="A12">
        <v>11</v>
      </c>
      <c r="B12" t="s">
        <v>47</v>
      </c>
      <c r="C12" t="s">
        <v>11</v>
      </c>
      <c r="D12" t="s">
        <v>48</v>
      </c>
      <c r="E12" t="s">
        <v>48</v>
      </c>
      <c r="G12">
        <v>2016</v>
      </c>
      <c r="H12" t="str">
        <v>2016</v>
      </c>
      <c r="I12" s="1">
        <v>50</v>
      </c>
      <c r="J12" t="s">
        <v>47</v>
      </c>
      <c r="K12">
        <v>1</v>
      </c>
    </row>
    <row r="13" spans="1:11" x14ac:dyDescent="0.25">
      <c r="A13">
        <v>14</v>
      </c>
      <c r="B13" t="s">
        <v>55</v>
      </c>
      <c r="C13" t="s">
        <v>56</v>
      </c>
      <c r="D13" t="s">
        <v>57</v>
      </c>
      <c r="E13" t="s">
        <v>21</v>
      </c>
      <c r="G13">
        <v>2020</v>
      </c>
      <c r="H13" t="str">
        <v>2020</v>
      </c>
      <c r="I13" s="1">
        <v>49.32</v>
      </c>
      <c r="J13" t="s">
        <v>58</v>
      </c>
      <c r="K13">
        <v>1</v>
      </c>
    </row>
    <row r="14" spans="1:11" x14ac:dyDescent="0.25">
      <c r="A14">
        <v>15</v>
      </c>
      <c r="B14" t="s">
        <v>59</v>
      </c>
      <c r="C14" t="s">
        <v>11</v>
      </c>
      <c r="D14" t="s">
        <v>60</v>
      </c>
      <c r="E14" t="s">
        <v>21</v>
      </c>
      <c r="F14" t="s">
        <v>61</v>
      </c>
      <c r="G14">
        <v>1996</v>
      </c>
      <c r="H14" t="str">
        <v>1996</v>
      </c>
      <c r="I14" s="1">
        <v>47.44</v>
      </c>
      <c r="J14" t="s">
        <v>62</v>
      </c>
      <c r="K14">
        <v>1</v>
      </c>
    </row>
    <row r="15" spans="1:11" x14ac:dyDescent="0.25">
      <c r="A15">
        <v>16</v>
      </c>
      <c r="B15" t="s">
        <v>63</v>
      </c>
      <c r="C15" t="s">
        <v>19</v>
      </c>
      <c r="D15" t="s">
        <v>20</v>
      </c>
      <c r="E15" t="s">
        <v>21</v>
      </c>
      <c r="F15" t="s">
        <v>64</v>
      </c>
      <c r="G15">
        <v>2007</v>
      </c>
      <c r="H15" t="str">
        <v>2007</v>
      </c>
      <c r="I15" s="1">
        <v>43.8</v>
      </c>
      <c r="J15" t="s">
        <v>19</v>
      </c>
      <c r="K15">
        <v>1</v>
      </c>
    </row>
    <row r="16" spans="1:11" x14ac:dyDescent="0.25">
      <c r="A16">
        <v>17</v>
      </c>
      <c r="B16" t="s">
        <v>65</v>
      </c>
      <c r="C16" t="s">
        <v>11</v>
      </c>
      <c r="D16" t="s">
        <v>66</v>
      </c>
      <c r="E16" t="s">
        <v>67</v>
      </c>
      <c r="G16">
        <v>2015</v>
      </c>
      <c r="H16" t="str">
        <v>2015</v>
      </c>
      <c r="I16" s="1">
        <v>43</v>
      </c>
      <c r="J16" t="s">
        <v>68</v>
      </c>
      <c r="K16">
        <v>1</v>
      </c>
    </row>
    <row r="17" spans="1:11" x14ac:dyDescent="0.25">
      <c r="A17">
        <v>18</v>
      </c>
      <c r="B17" t="s">
        <v>69</v>
      </c>
      <c r="C17" t="s">
        <v>11</v>
      </c>
      <c r="D17" t="s">
        <v>70</v>
      </c>
      <c r="E17" t="s">
        <v>67</v>
      </c>
      <c r="G17">
        <v>2019</v>
      </c>
      <c r="H17" t="str">
        <v>2019</v>
      </c>
      <c r="I17" s="1">
        <v>41</v>
      </c>
      <c r="J17" t="s">
        <v>68</v>
      </c>
      <c r="K17">
        <v>1</v>
      </c>
    </row>
    <row r="18" spans="1:11" x14ac:dyDescent="0.25">
      <c r="A18">
        <v>19</v>
      </c>
      <c r="B18" t="s">
        <v>71</v>
      </c>
      <c r="C18" t="s">
        <v>11</v>
      </c>
      <c r="D18" t="s">
        <v>72</v>
      </c>
      <c r="E18" t="s">
        <v>73</v>
      </c>
      <c r="G18">
        <v>2023</v>
      </c>
      <c r="H18" t="str">
        <v>2023</v>
      </c>
      <c r="I18" s="1">
        <v>40</v>
      </c>
      <c r="J18" t="s">
        <v>74</v>
      </c>
      <c r="K18">
        <v>1</v>
      </c>
    </row>
    <row r="19" spans="1:11" x14ac:dyDescent="0.25">
      <c r="A19">
        <v>22</v>
      </c>
      <c r="B19" t="s">
        <v>83</v>
      </c>
      <c r="C19" t="s">
        <v>56</v>
      </c>
      <c r="D19" t="s">
        <v>84</v>
      </c>
      <c r="E19" t="s">
        <v>21</v>
      </c>
      <c r="G19">
        <v>2018</v>
      </c>
      <c r="H19" t="str">
        <v>2018</v>
      </c>
      <c r="I19" s="1">
        <v>37.44</v>
      </c>
      <c r="J19" t="s">
        <v>85</v>
      </c>
      <c r="K19">
        <v>1</v>
      </c>
    </row>
    <row r="20" spans="1:11" x14ac:dyDescent="0.25">
      <c r="A20">
        <v>23</v>
      </c>
      <c r="B20" t="s">
        <v>86</v>
      </c>
      <c r="C20" t="s">
        <v>19</v>
      </c>
      <c r="D20" t="s">
        <v>20</v>
      </c>
      <c r="E20" t="s">
        <v>21</v>
      </c>
      <c r="G20">
        <v>2008</v>
      </c>
      <c r="H20" t="str">
        <v>2008</v>
      </c>
      <c r="I20" s="1">
        <v>37.380000000000003</v>
      </c>
      <c r="J20" t="s">
        <v>28</v>
      </c>
      <c r="K20">
        <v>1</v>
      </c>
    </row>
    <row r="21" spans="1:11" x14ac:dyDescent="0.25">
      <c r="A21">
        <v>24</v>
      </c>
      <c r="B21" t="s">
        <v>87</v>
      </c>
      <c r="C21" t="s">
        <v>11</v>
      </c>
      <c r="D21" t="s">
        <v>57</v>
      </c>
      <c r="E21" t="s">
        <v>21</v>
      </c>
      <c r="F21" t="s">
        <v>88</v>
      </c>
      <c r="G21">
        <v>2017</v>
      </c>
      <c r="H21" t="str">
        <v>2017</v>
      </c>
      <c r="I21" s="1">
        <v>35.340000000000003</v>
      </c>
      <c r="J21" t="s">
        <v>89</v>
      </c>
      <c r="K21">
        <v>1</v>
      </c>
    </row>
    <row r="22" spans="1:11" x14ac:dyDescent="0.25">
      <c r="A22">
        <v>25</v>
      </c>
      <c r="B22" t="s">
        <v>90</v>
      </c>
      <c r="C22" t="s">
        <v>91</v>
      </c>
      <c r="D22" t="s">
        <v>92</v>
      </c>
      <c r="E22" t="s">
        <v>21</v>
      </c>
      <c r="G22">
        <v>1989</v>
      </c>
      <c r="H22" t="str">
        <v>1989</v>
      </c>
      <c r="I22" s="1">
        <v>35</v>
      </c>
      <c r="J22" t="s">
        <v>93</v>
      </c>
      <c r="K22">
        <v>1</v>
      </c>
    </row>
    <row r="23" spans="1:11" x14ac:dyDescent="0.25">
      <c r="A23">
        <v>27</v>
      </c>
      <c r="B23" t="s">
        <v>96</v>
      </c>
      <c r="C23" t="s">
        <v>19</v>
      </c>
      <c r="D23" t="s">
        <v>20</v>
      </c>
      <c r="E23" t="s">
        <v>21</v>
      </c>
      <c r="G23">
        <v>2009</v>
      </c>
      <c r="H23" t="str">
        <v>2009</v>
      </c>
      <c r="I23" s="1">
        <v>33.14</v>
      </c>
      <c r="J23" t="s">
        <v>19</v>
      </c>
      <c r="K23">
        <v>1</v>
      </c>
    </row>
    <row r="24" spans="1:11" x14ac:dyDescent="0.25">
      <c r="A24">
        <v>28</v>
      </c>
      <c r="B24" t="s">
        <v>97</v>
      </c>
      <c r="C24" t="s">
        <v>98</v>
      </c>
      <c r="D24" t="s">
        <v>20</v>
      </c>
      <c r="E24" t="s">
        <v>21</v>
      </c>
      <c r="G24">
        <v>2006</v>
      </c>
      <c r="H24" t="str">
        <v>2006</v>
      </c>
      <c r="I24" s="1">
        <v>30.8</v>
      </c>
      <c r="J24" t="s">
        <v>43</v>
      </c>
      <c r="K24">
        <v>1</v>
      </c>
    </row>
    <row r="25" spans="1:11" x14ac:dyDescent="0.25">
      <c r="A25">
        <v>29</v>
      </c>
      <c r="B25" t="s">
        <v>99</v>
      </c>
      <c r="C25" t="s">
        <v>19</v>
      </c>
      <c r="D25" t="s">
        <v>20</v>
      </c>
      <c r="E25" t="s">
        <v>21</v>
      </c>
      <c r="G25">
        <v>2009</v>
      </c>
      <c r="H25" t="str">
        <v>2009</v>
      </c>
      <c r="I25" s="1">
        <v>30.32</v>
      </c>
      <c r="J25" t="s">
        <v>43</v>
      </c>
      <c r="K25">
        <v>1</v>
      </c>
    </row>
    <row r="26" spans="1:11" x14ac:dyDescent="0.25">
      <c r="A26">
        <v>30</v>
      </c>
      <c r="B26" t="s">
        <v>100</v>
      </c>
      <c r="C26" t="s">
        <v>56</v>
      </c>
      <c r="D26" t="s">
        <v>57</v>
      </c>
      <c r="E26" t="s">
        <v>21</v>
      </c>
      <c r="G26">
        <v>2017</v>
      </c>
      <c r="H26" t="str">
        <v>2017</v>
      </c>
      <c r="I26" s="1">
        <v>30.27</v>
      </c>
      <c r="J26" t="s">
        <v>43</v>
      </c>
      <c r="K26">
        <v>1</v>
      </c>
    </row>
    <row r="27" spans="1:11" x14ac:dyDescent="0.25">
      <c r="A27">
        <v>31</v>
      </c>
      <c r="B27" t="s">
        <v>101</v>
      </c>
      <c r="C27" t="s">
        <v>102</v>
      </c>
      <c r="D27" t="s">
        <v>60</v>
      </c>
      <c r="E27" t="s">
        <v>21</v>
      </c>
      <c r="F27" t="s">
        <v>103</v>
      </c>
      <c r="G27">
        <v>1999</v>
      </c>
      <c r="H27" t="str">
        <v>1999</v>
      </c>
      <c r="I27" s="1">
        <v>30.12</v>
      </c>
      <c r="J27" t="s">
        <v>62</v>
      </c>
      <c r="K27">
        <v>1</v>
      </c>
    </row>
    <row r="28" spans="1:11" x14ac:dyDescent="0.25">
      <c r="A28">
        <v>32</v>
      </c>
      <c r="B28" t="s">
        <v>104</v>
      </c>
      <c r="C28" t="s">
        <v>11</v>
      </c>
      <c r="D28" t="s">
        <v>105</v>
      </c>
      <c r="E28" t="s">
        <v>106</v>
      </c>
      <c r="G28">
        <v>2022</v>
      </c>
      <c r="H28" t="str">
        <v>2022</v>
      </c>
      <c r="I28" s="1">
        <v>30</v>
      </c>
      <c r="J28" t="s">
        <v>104</v>
      </c>
      <c r="K28">
        <v>1</v>
      </c>
    </row>
    <row r="29" spans="1:11" x14ac:dyDescent="0.25">
      <c r="A29">
        <v>36</v>
      </c>
      <c r="B29" t="s">
        <v>117</v>
      </c>
      <c r="C29" t="s">
        <v>11</v>
      </c>
      <c r="D29" t="s">
        <v>118</v>
      </c>
      <c r="E29" t="s">
        <v>118</v>
      </c>
      <c r="F29" t="s">
        <v>119</v>
      </c>
      <c r="G29">
        <v>2018</v>
      </c>
      <c r="H29" t="str">
        <v>2018</v>
      </c>
      <c r="I29" s="1">
        <v>29.1</v>
      </c>
      <c r="J29" t="s">
        <v>120</v>
      </c>
      <c r="K29">
        <v>1</v>
      </c>
    </row>
    <row r="30" spans="1:11" x14ac:dyDescent="0.25">
      <c r="A30">
        <v>37</v>
      </c>
      <c r="B30" t="s">
        <v>121</v>
      </c>
      <c r="C30" t="s">
        <v>122</v>
      </c>
      <c r="D30" t="s">
        <v>92</v>
      </c>
      <c r="E30" t="s">
        <v>21</v>
      </c>
      <c r="G30">
        <v>1984</v>
      </c>
      <c r="H30" t="str">
        <v>1984</v>
      </c>
      <c r="I30" s="1">
        <v>28.3</v>
      </c>
      <c r="J30" t="s">
        <v>36</v>
      </c>
      <c r="K30">
        <v>1</v>
      </c>
    </row>
    <row r="31" spans="1:11" x14ac:dyDescent="0.25">
      <c r="A31">
        <v>38</v>
      </c>
      <c r="B31" t="s">
        <v>123</v>
      </c>
      <c r="C31" t="s">
        <v>56</v>
      </c>
      <c r="D31" t="s">
        <v>60</v>
      </c>
      <c r="E31" t="s">
        <v>124</v>
      </c>
      <c r="G31">
        <v>2022</v>
      </c>
      <c r="H31" t="str">
        <v>2022</v>
      </c>
      <c r="I31" s="1">
        <v>28.08</v>
      </c>
      <c r="J31" t="s">
        <v>62</v>
      </c>
      <c r="K31">
        <v>1</v>
      </c>
    </row>
    <row r="32" spans="1:11" x14ac:dyDescent="0.25">
      <c r="A32">
        <v>39</v>
      </c>
      <c r="B32" t="s">
        <v>125</v>
      </c>
      <c r="C32" t="s">
        <v>19</v>
      </c>
      <c r="D32" t="s">
        <v>20</v>
      </c>
      <c r="E32" t="s">
        <v>21</v>
      </c>
      <c r="G32">
        <v>2006</v>
      </c>
      <c r="H32" t="str">
        <v>2006</v>
      </c>
      <c r="I32" s="1">
        <v>28.02</v>
      </c>
      <c r="J32" t="s">
        <v>19</v>
      </c>
      <c r="K32">
        <v>1</v>
      </c>
    </row>
    <row r="33" spans="1:11" x14ac:dyDescent="0.25">
      <c r="A33">
        <v>40</v>
      </c>
      <c r="B33" t="s">
        <v>126</v>
      </c>
      <c r="C33" t="s">
        <v>11</v>
      </c>
      <c r="D33" t="s">
        <v>127</v>
      </c>
      <c r="E33" t="s">
        <v>127</v>
      </c>
      <c r="G33">
        <v>2024</v>
      </c>
      <c r="H33" t="str">
        <v>2024</v>
      </c>
      <c r="I33" s="1">
        <v>28</v>
      </c>
      <c r="J33" t="s">
        <v>128</v>
      </c>
      <c r="K33">
        <v>1</v>
      </c>
    </row>
    <row r="34" spans="1:11" x14ac:dyDescent="0.25">
      <c r="A34">
        <v>41</v>
      </c>
      <c r="B34" t="s">
        <v>129</v>
      </c>
      <c r="C34" t="s">
        <v>11</v>
      </c>
      <c r="D34" t="s">
        <v>15</v>
      </c>
      <c r="E34" t="s">
        <v>16</v>
      </c>
      <c r="G34">
        <v>2004</v>
      </c>
      <c r="H34" t="str">
        <v>2004</v>
      </c>
      <c r="I34" s="1">
        <v>27.5</v>
      </c>
      <c r="J34" t="s">
        <v>17</v>
      </c>
      <c r="K34">
        <v>1</v>
      </c>
    </row>
    <row r="35" spans="1:11" x14ac:dyDescent="0.25">
      <c r="A35">
        <v>42</v>
      </c>
      <c r="B35" t="s">
        <v>130</v>
      </c>
      <c r="C35" t="s">
        <v>56</v>
      </c>
      <c r="D35" t="s">
        <v>60</v>
      </c>
      <c r="E35" t="s">
        <v>124</v>
      </c>
      <c r="G35">
        <v>2019</v>
      </c>
      <c r="H35" t="str">
        <v>2019</v>
      </c>
      <c r="I35" s="1">
        <v>27.08</v>
      </c>
      <c r="J35" t="s">
        <v>62</v>
      </c>
      <c r="K35">
        <v>1</v>
      </c>
    </row>
    <row r="36" spans="1:11" x14ac:dyDescent="0.25">
      <c r="A36">
        <v>43</v>
      </c>
      <c r="B36" t="s">
        <v>131</v>
      </c>
      <c r="C36" t="s">
        <v>11</v>
      </c>
      <c r="D36" t="s">
        <v>132</v>
      </c>
      <c r="E36" t="s">
        <v>50</v>
      </c>
      <c r="G36">
        <v>2021</v>
      </c>
      <c r="H36" t="str">
        <v>2021</v>
      </c>
      <c r="I36" s="1">
        <v>27</v>
      </c>
      <c r="J36" t="s">
        <v>36</v>
      </c>
      <c r="K36">
        <v>1</v>
      </c>
    </row>
    <row r="37" spans="1:11" x14ac:dyDescent="0.25">
      <c r="A37">
        <v>44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>
        <v>2013</v>
      </c>
      <c r="H37" t="str">
        <v>2013</v>
      </c>
      <c r="I37" s="1">
        <v>26.6</v>
      </c>
      <c r="J37" t="s">
        <v>138</v>
      </c>
      <c r="K37">
        <v>1</v>
      </c>
    </row>
    <row r="38" spans="1:11" x14ac:dyDescent="0.25">
      <c r="A38">
        <v>45</v>
      </c>
      <c r="B38" t="s">
        <v>139</v>
      </c>
      <c r="C38" t="s">
        <v>11</v>
      </c>
      <c r="D38" t="s">
        <v>140</v>
      </c>
      <c r="E38" t="s">
        <v>67</v>
      </c>
      <c r="G38">
        <v>2011</v>
      </c>
      <c r="H38" t="str">
        <v>2011</v>
      </c>
      <c r="I38" s="1">
        <v>26.5</v>
      </c>
      <c r="J38" t="s">
        <v>68</v>
      </c>
      <c r="K38">
        <v>1</v>
      </c>
    </row>
    <row r="39" spans="1:11" x14ac:dyDescent="0.25">
      <c r="A39">
        <v>46</v>
      </c>
      <c r="B39" t="s">
        <v>141</v>
      </c>
      <c r="C39" t="s">
        <v>11</v>
      </c>
      <c r="D39" t="s">
        <v>66</v>
      </c>
      <c r="E39" t="s">
        <v>67</v>
      </c>
      <c r="G39">
        <v>2010</v>
      </c>
      <c r="H39" t="str">
        <v>2010</v>
      </c>
      <c r="I39" s="1">
        <v>26.2</v>
      </c>
      <c r="J39" t="s">
        <v>68</v>
      </c>
      <c r="K39">
        <v>1</v>
      </c>
    </row>
    <row r="40" spans="1:11" x14ac:dyDescent="0.25">
      <c r="A40">
        <v>47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>
        <v>2018</v>
      </c>
      <c r="H40" t="str">
        <v>2018</v>
      </c>
      <c r="I40" s="1">
        <v>26.1</v>
      </c>
      <c r="J40" t="s">
        <v>147</v>
      </c>
      <c r="K40">
        <v>1</v>
      </c>
    </row>
    <row r="41" spans="1:11" x14ac:dyDescent="0.25">
      <c r="A41">
        <v>48</v>
      </c>
      <c r="B41" t="s">
        <v>148</v>
      </c>
      <c r="C41" t="s">
        <v>149</v>
      </c>
      <c r="D41" t="s">
        <v>60</v>
      </c>
      <c r="E41" t="s">
        <v>124</v>
      </c>
      <c r="F41" t="s">
        <v>150</v>
      </c>
      <c r="G41">
        <v>2016</v>
      </c>
      <c r="H41" t="str">
        <v>2016</v>
      </c>
      <c r="I41" s="1">
        <v>25.59</v>
      </c>
      <c r="J41" t="s">
        <v>62</v>
      </c>
      <c r="K41">
        <v>1</v>
      </c>
    </row>
    <row r="42" spans="1:11" x14ac:dyDescent="0.25">
      <c r="A42">
        <v>49</v>
      </c>
      <c r="B42" t="s">
        <v>151</v>
      </c>
      <c r="C42" t="s">
        <v>152</v>
      </c>
      <c r="D42" t="s">
        <v>153</v>
      </c>
      <c r="E42" t="s">
        <v>154</v>
      </c>
      <c r="G42">
        <v>2006</v>
      </c>
      <c r="H42" t="str">
        <v>2006</v>
      </c>
      <c r="I42" s="1">
        <v>25.56</v>
      </c>
      <c r="J42" t="s">
        <v>36</v>
      </c>
      <c r="K42">
        <v>1</v>
      </c>
    </row>
    <row r="43" spans="1:11" x14ac:dyDescent="0.25">
      <c r="A43">
        <v>50</v>
      </c>
      <c r="B43" t="s">
        <v>155</v>
      </c>
      <c r="C43" t="s">
        <v>98</v>
      </c>
      <c r="D43" t="s">
        <v>60</v>
      </c>
      <c r="E43" t="s">
        <v>124</v>
      </c>
      <c r="F43" t="s">
        <v>156</v>
      </c>
      <c r="G43">
        <v>2006</v>
      </c>
      <c r="H43" t="str">
        <v>2006</v>
      </c>
      <c r="I43" s="1">
        <v>25.5</v>
      </c>
      <c r="J43" t="s">
        <v>62</v>
      </c>
      <c r="K43">
        <v>1</v>
      </c>
    </row>
  </sheetData>
  <autoFilter ref="A1:K1" xr:uid="{A0D657D7-C6D7-4F48-A2B5-2D6E6197C2DB}">
    <sortState xmlns:xlrd2="http://schemas.microsoft.com/office/spreadsheetml/2017/richdata2" ref="A2:K51">
      <sortCondition sortBy="cellColor" ref="A1" dxfId="2"/>
    </sortState>
  </autoFilter>
  <conditionalFormatting sqref="A2:A43">
    <cfRule type="duplicateValues" dxfId="1" priority="1"/>
    <cfRule type="expression" dxfId="0" priority="2">
      <formula>NOT(ISNUMBER(A2:A51))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6417-5DDF-4A19-A059-9D401508DD11}">
  <dimension ref="A1:B48"/>
  <sheetViews>
    <sheetView zoomScale="120" zoomScaleNormal="120" workbookViewId="0">
      <selection activeCell="C16" sqref="C16"/>
    </sheetView>
  </sheetViews>
  <sheetFormatPr defaultRowHeight="13.2" x14ac:dyDescent="0.25"/>
  <cols>
    <col min="1" max="1" width="35.21875" bestFit="1" customWidth="1"/>
    <col min="2" max="2" width="20.44140625" bestFit="1" customWidth="1"/>
    <col min="4" max="4" width="39.5546875" bestFit="1" customWidth="1"/>
    <col min="5" max="5" width="20.44140625" bestFit="1" customWidth="1"/>
    <col min="6" max="6" width="13.6640625" bestFit="1" customWidth="1"/>
    <col min="7" max="7" width="21.33203125" bestFit="1" customWidth="1"/>
    <col min="8" max="8" width="8.109375" bestFit="1" customWidth="1"/>
    <col min="9" max="9" width="10.44140625" bestFit="1" customWidth="1"/>
    <col min="10" max="10" width="12.21875" bestFit="1" customWidth="1"/>
    <col min="11" max="11" width="14.109375" bestFit="1" customWidth="1"/>
    <col min="12" max="12" width="13.44140625" bestFit="1" customWidth="1"/>
    <col min="13" max="13" width="7.5546875" bestFit="1" customWidth="1"/>
    <col min="14" max="14" width="14.5546875" bestFit="1" customWidth="1"/>
    <col min="16" max="16" width="30.6640625" bestFit="1" customWidth="1"/>
    <col min="17" max="17" width="19.109375" bestFit="1" customWidth="1"/>
    <col min="18" max="18" width="15.5546875" bestFit="1" customWidth="1"/>
    <col min="19" max="19" width="28" bestFit="1" customWidth="1"/>
    <col min="20" max="20" width="28.44140625" bestFit="1" customWidth="1"/>
    <col min="21" max="21" width="5.6640625" bestFit="1" customWidth="1"/>
    <col min="22" max="22" width="19.6640625" bestFit="1" customWidth="1"/>
    <col min="23" max="23" width="11.33203125" bestFit="1" customWidth="1"/>
  </cols>
  <sheetData>
    <row r="1" spans="1:2" x14ac:dyDescent="0.25">
      <c r="A1" s="2" t="s">
        <v>4</v>
      </c>
      <c r="B1" t="s">
        <v>161</v>
      </c>
    </row>
    <row r="2" spans="1:2" x14ac:dyDescent="0.25">
      <c r="A2" s="2" t="s">
        <v>3</v>
      </c>
      <c r="B2" t="s">
        <v>161</v>
      </c>
    </row>
    <row r="3" spans="1:2" x14ac:dyDescent="0.25">
      <c r="A3" s="2" t="s">
        <v>2</v>
      </c>
      <c r="B3" t="s">
        <v>161</v>
      </c>
    </row>
    <row r="5" spans="1:2" x14ac:dyDescent="0.25">
      <c r="A5" s="2" t="s">
        <v>158</v>
      </c>
      <c r="B5" t="s">
        <v>160</v>
      </c>
    </row>
    <row r="6" spans="1:2" x14ac:dyDescent="0.25">
      <c r="A6" s="3" t="s">
        <v>10</v>
      </c>
      <c r="B6" s="1">
        <v>350</v>
      </c>
    </row>
    <row r="7" spans="1:2" x14ac:dyDescent="0.25">
      <c r="A7" s="3" t="s">
        <v>14</v>
      </c>
      <c r="B7" s="1">
        <v>225</v>
      </c>
    </row>
    <row r="8" spans="1:2" x14ac:dyDescent="0.25">
      <c r="A8" s="3" t="s">
        <v>18</v>
      </c>
      <c r="B8" s="1">
        <v>82.9</v>
      </c>
    </row>
    <row r="9" spans="1:2" x14ac:dyDescent="0.25">
      <c r="A9" s="3" t="s">
        <v>22</v>
      </c>
      <c r="B9" s="1">
        <v>82</v>
      </c>
    </row>
    <row r="10" spans="1:2" x14ac:dyDescent="0.25">
      <c r="A10" s="3" t="s">
        <v>24</v>
      </c>
      <c r="B10" s="1">
        <v>79.05</v>
      </c>
    </row>
    <row r="11" spans="1:2" x14ac:dyDescent="0.25">
      <c r="A11" s="3" t="s">
        <v>29</v>
      </c>
      <c r="B11" s="1">
        <v>75</v>
      </c>
    </row>
    <row r="12" spans="1:2" x14ac:dyDescent="0.25">
      <c r="A12" s="3" t="s">
        <v>33</v>
      </c>
      <c r="B12" s="1">
        <v>64</v>
      </c>
    </row>
    <row r="13" spans="1:2" x14ac:dyDescent="0.25">
      <c r="A13" s="3" t="s">
        <v>37</v>
      </c>
      <c r="B13" s="1">
        <v>60</v>
      </c>
    </row>
    <row r="14" spans="1:2" x14ac:dyDescent="0.25">
      <c r="A14" s="3" t="s">
        <v>41</v>
      </c>
      <c r="B14" s="1">
        <v>58</v>
      </c>
    </row>
    <row r="15" spans="1:2" x14ac:dyDescent="0.25">
      <c r="A15" s="3" t="s">
        <v>44</v>
      </c>
      <c r="B15" s="1">
        <v>55</v>
      </c>
    </row>
    <row r="16" spans="1:2" x14ac:dyDescent="0.25">
      <c r="A16" s="3" t="s">
        <v>47</v>
      </c>
      <c r="B16" s="1">
        <v>50</v>
      </c>
    </row>
    <row r="17" spans="1:2" x14ac:dyDescent="0.25">
      <c r="A17" s="3" t="s">
        <v>55</v>
      </c>
      <c r="B17" s="1">
        <v>49.32</v>
      </c>
    </row>
    <row r="18" spans="1:2" x14ac:dyDescent="0.25">
      <c r="A18" s="3" t="s">
        <v>59</v>
      </c>
      <c r="B18" s="1">
        <v>47.44</v>
      </c>
    </row>
    <row r="19" spans="1:2" x14ac:dyDescent="0.25">
      <c r="A19" s="3" t="s">
        <v>63</v>
      </c>
      <c r="B19" s="1">
        <v>43.8</v>
      </c>
    </row>
    <row r="20" spans="1:2" x14ac:dyDescent="0.25">
      <c r="A20" s="3" t="s">
        <v>65</v>
      </c>
      <c r="B20" s="1">
        <v>43</v>
      </c>
    </row>
    <row r="21" spans="1:2" x14ac:dyDescent="0.25">
      <c r="A21" s="3" t="s">
        <v>69</v>
      </c>
      <c r="B21" s="1">
        <v>41</v>
      </c>
    </row>
    <row r="22" spans="1:2" x14ac:dyDescent="0.25">
      <c r="A22" s="3" t="s">
        <v>71</v>
      </c>
      <c r="B22" s="1">
        <v>40</v>
      </c>
    </row>
    <row r="23" spans="1:2" x14ac:dyDescent="0.25">
      <c r="A23" s="3" t="s">
        <v>83</v>
      </c>
      <c r="B23" s="1">
        <v>37.44</v>
      </c>
    </row>
    <row r="24" spans="1:2" x14ac:dyDescent="0.25">
      <c r="A24" s="3" t="s">
        <v>86</v>
      </c>
      <c r="B24" s="1">
        <v>37.380000000000003</v>
      </c>
    </row>
    <row r="25" spans="1:2" x14ac:dyDescent="0.25">
      <c r="A25" s="3" t="s">
        <v>87</v>
      </c>
      <c r="B25" s="1">
        <v>35.340000000000003</v>
      </c>
    </row>
    <row r="26" spans="1:2" x14ac:dyDescent="0.25">
      <c r="A26" s="3" t="s">
        <v>90</v>
      </c>
      <c r="B26" s="1">
        <v>35</v>
      </c>
    </row>
    <row r="27" spans="1:2" x14ac:dyDescent="0.25">
      <c r="A27" s="3" t="s">
        <v>96</v>
      </c>
      <c r="B27" s="1">
        <v>33.14</v>
      </c>
    </row>
    <row r="28" spans="1:2" x14ac:dyDescent="0.25">
      <c r="A28" s="3" t="s">
        <v>97</v>
      </c>
      <c r="B28" s="1">
        <v>30.8</v>
      </c>
    </row>
    <row r="29" spans="1:2" x14ac:dyDescent="0.25">
      <c r="A29" s="3" t="s">
        <v>99</v>
      </c>
      <c r="B29" s="1">
        <v>30.32</v>
      </c>
    </row>
    <row r="30" spans="1:2" x14ac:dyDescent="0.25">
      <c r="A30" s="3" t="s">
        <v>100</v>
      </c>
      <c r="B30" s="1">
        <v>30.27</v>
      </c>
    </row>
    <row r="31" spans="1:2" x14ac:dyDescent="0.25">
      <c r="A31" s="3" t="s">
        <v>101</v>
      </c>
      <c r="B31" s="1">
        <v>30.12</v>
      </c>
    </row>
    <row r="32" spans="1:2" x14ac:dyDescent="0.25">
      <c r="A32" s="3" t="s">
        <v>104</v>
      </c>
      <c r="B32" s="1">
        <v>30</v>
      </c>
    </row>
    <row r="33" spans="1:2" x14ac:dyDescent="0.25">
      <c r="A33" s="3" t="s">
        <v>117</v>
      </c>
      <c r="B33" s="1">
        <v>29.1</v>
      </c>
    </row>
    <row r="34" spans="1:2" x14ac:dyDescent="0.25">
      <c r="A34" s="3" t="s">
        <v>121</v>
      </c>
      <c r="B34" s="1">
        <v>28.3</v>
      </c>
    </row>
    <row r="35" spans="1:2" x14ac:dyDescent="0.25">
      <c r="A35" s="3" t="s">
        <v>123</v>
      </c>
      <c r="B35" s="1">
        <v>28.08</v>
      </c>
    </row>
    <row r="36" spans="1:2" x14ac:dyDescent="0.25">
      <c r="A36" s="3" t="s">
        <v>125</v>
      </c>
      <c r="B36" s="1">
        <v>28.02</v>
      </c>
    </row>
    <row r="37" spans="1:2" x14ac:dyDescent="0.25">
      <c r="A37" s="3" t="s">
        <v>126</v>
      </c>
      <c r="B37" s="1">
        <v>28</v>
      </c>
    </row>
    <row r="38" spans="1:2" x14ac:dyDescent="0.25">
      <c r="A38" s="3" t="s">
        <v>129</v>
      </c>
      <c r="B38" s="1">
        <v>27.5</v>
      </c>
    </row>
    <row r="39" spans="1:2" x14ac:dyDescent="0.25">
      <c r="A39" s="3" t="s">
        <v>130</v>
      </c>
      <c r="B39" s="1">
        <v>27.08</v>
      </c>
    </row>
    <row r="40" spans="1:2" x14ac:dyDescent="0.25">
      <c r="A40" s="3" t="s">
        <v>131</v>
      </c>
      <c r="B40" s="1">
        <v>27</v>
      </c>
    </row>
    <row r="41" spans="1:2" x14ac:dyDescent="0.25">
      <c r="A41" s="3" t="s">
        <v>133</v>
      </c>
      <c r="B41" s="1">
        <v>26.6</v>
      </c>
    </row>
    <row r="42" spans="1:2" x14ac:dyDescent="0.25">
      <c r="A42" s="3" t="s">
        <v>139</v>
      </c>
      <c r="B42" s="1">
        <v>26.5</v>
      </c>
    </row>
    <row r="43" spans="1:2" x14ac:dyDescent="0.25">
      <c r="A43" s="3" t="s">
        <v>141</v>
      </c>
      <c r="B43" s="1">
        <v>26.2</v>
      </c>
    </row>
    <row r="44" spans="1:2" x14ac:dyDescent="0.25">
      <c r="A44" s="3" t="s">
        <v>142</v>
      </c>
      <c r="B44" s="1">
        <v>26.1</v>
      </c>
    </row>
    <row r="45" spans="1:2" x14ac:dyDescent="0.25">
      <c r="A45" s="3" t="s">
        <v>148</v>
      </c>
      <c r="B45" s="1">
        <v>25.59</v>
      </c>
    </row>
    <row r="46" spans="1:2" x14ac:dyDescent="0.25">
      <c r="A46" s="3" t="s">
        <v>151</v>
      </c>
      <c r="B46" s="1">
        <v>25.56</v>
      </c>
    </row>
    <row r="47" spans="1:2" x14ac:dyDescent="0.25">
      <c r="A47" s="3" t="s">
        <v>155</v>
      </c>
      <c r="B47" s="1">
        <v>25.5</v>
      </c>
    </row>
    <row r="48" spans="1:2" x14ac:dyDescent="0.25">
      <c r="A48" s="3" t="s">
        <v>159</v>
      </c>
      <c r="B48" s="1">
        <v>2180.4499999999994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9151-25CE-452C-ADF1-3ECFB62263B8}">
  <dimension ref="A1:B70"/>
  <sheetViews>
    <sheetView zoomScale="140" zoomScaleNormal="140" workbookViewId="0">
      <selection activeCell="D14" sqref="D14"/>
    </sheetView>
  </sheetViews>
  <sheetFormatPr defaultRowHeight="13.2" x14ac:dyDescent="0.25"/>
  <cols>
    <col min="1" max="1" width="39.6640625" bestFit="1" customWidth="1"/>
    <col min="2" max="2" width="20.77734375" bestFit="1" customWidth="1"/>
  </cols>
  <sheetData>
    <row r="1" spans="1:2" x14ac:dyDescent="0.25">
      <c r="A1" s="2" t="s">
        <v>158</v>
      </c>
      <c r="B1" t="s">
        <v>160</v>
      </c>
    </row>
    <row r="2" spans="1:2" x14ac:dyDescent="0.25">
      <c r="A2" s="3" t="s">
        <v>12</v>
      </c>
      <c r="B2" s="1">
        <v>350</v>
      </c>
    </row>
    <row r="3" spans="1:2" x14ac:dyDescent="0.25">
      <c r="A3" s="4" t="s">
        <v>10</v>
      </c>
      <c r="B3" s="1">
        <v>350</v>
      </c>
    </row>
    <row r="4" spans="1:2" x14ac:dyDescent="0.25">
      <c r="A4" s="3" t="s">
        <v>20</v>
      </c>
      <c r="B4" s="1">
        <v>286.36</v>
      </c>
    </row>
    <row r="5" spans="1:2" x14ac:dyDescent="0.25">
      <c r="A5" s="4" t="s">
        <v>18</v>
      </c>
      <c r="B5" s="1">
        <v>82.9</v>
      </c>
    </row>
    <row r="6" spans="1:2" x14ac:dyDescent="0.25">
      <c r="A6" s="4" t="s">
        <v>63</v>
      </c>
      <c r="B6" s="1">
        <v>43.8</v>
      </c>
    </row>
    <row r="7" spans="1:2" x14ac:dyDescent="0.25">
      <c r="A7" s="4" t="s">
        <v>86</v>
      </c>
      <c r="B7" s="1">
        <v>37.380000000000003</v>
      </c>
    </row>
    <row r="8" spans="1:2" x14ac:dyDescent="0.25">
      <c r="A8" s="4" t="s">
        <v>96</v>
      </c>
      <c r="B8" s="1">
        <v>33.14</v>
      </c>
    </row>
    <row r="9" spans="1:2" x14ac:dyDescent="0.25">
      <c r="A9" s="4" t="s">
        <v>97</v>
      </c>
      <c r="B9" s="1">
        <v>30.8</v>
      </c>
    </row>
    <row r="10" spans="1:2" x14ac:dyDescent="0.25">
      <c r="A10" s="4" t="s">
        <v>99</v>
      </c>
      <c r="B10" s="1">
        <v>30.32</v>
      </c>
    </row>
    <row r="11" spans="1:2" x14ac:dyDescent="0.25">
      <c r="A11" s="4" t="s">
        <v>125</v>
      </c>
      <c r="B11" s="1">
        <v>28.02</v>
      </c>
    </row>
    <row r="12" spans="1:2" x14ac:dyDescent="0.25">
      <c r="A12" s="3" t="s">
        <v>15</v>
      </c>
      <c r="B12" s="1">
        <v>252.5</v>
      </c>
    </row>
    <row r="13" spans="1:2" x14ac:dyDescent="0.25">
      <c r="A13" s="4" t="s">
        <v>14</v>
      </c>
      <c r="B13" s="1">
        <v>225</v>
      </c>
    </row>
    <row r="14" spans="1:2" x14ac:dyDescent="0.25">
      <c r="A14" s="4" t="s">
        <v>129</v>
      </c>
      <c r="B14" s="1">
        <v>27.5</v>
      </c>
    </row>
    <row r="15" spans="1:2" x14ac:dyDescent="0.25">
      <c r="A15" s="3" t="s">
        <v>60</v>
      </c>
      <c r="B15" s="1">
        <v>183.81</v>
      </c>
    </row>
    <row r="16" spans="1:2" x14ac:dyDescent="0.25">
      <c r="A16" s="4" t="s">
        <v>59</v>
      </c>
      <c r="B16" s="1">
        <v>47.44</v>
      </c>
    </row>
    <row r="17" spans="1:2" x14ac:dyDescent="0.25">
      <c r="A17" s="4" t="s">
        <v>101</v>
      </c>
      <c r="B17" s="1">
        <v>30.12</v>
      </c>
    </row>
    <row r="18" spans="1:2" x14ac:dyDescent="0.25">
      <c r="A18" s="4" t="s">
        <v>123</v>
      </c>
      <c r="B18" s="1">
        <v>28.08</v>
      </c>
    </row>
    <row r="19" spans="1:2" x14ac:dyDescent="0.25">
      <c r="A19" s="4" t="s">
        <v>130</v>
      </c>
      <c r="B19" s="1">
        <v>27.08</v>
      </c>
    </row>
    <row r="20" spans="1:2" x14ac:dyDescent="0.25">
      <c r="A20" s="4" t="s">
        <v>148</v>
      </c>
      <c r="B20" s="1">
        <v>25.59</v>
      </c>
    </row>
    <row r="21" spans="1:2" x14ac:dyDescent="0.25">
      <c r="A21" s="4" t="s">
        <v>155</v>
      </c>
      <c r="B21" s="1">
        <v>25.5</v>
      </c>
    </row>
    <row r="22" spans="1:2" x14ac:dyDescent="0.25">
      <c r="A22" s="3" t="s">
        <v>57</v>
      </c>
      <c r="B22" s="1">
        <v>114.93</v>
      </c>
    </row>
    <row r="23" spans="1:2" x14ac:dyDescent="0.25">
      <c r="A23" s="4" t="s">
        <v>55</v>
      </c>
      <c r="B23" s="1">
        <v>49.32</v>
      </c>
    </row>
    <row r="24" spans="1:2" x14ac:dyDescent="0.25">
      <c r="A24" s="4" t="s">
        <v>87</v>
      </c>
      <c r="B24" s="1">
        <v>35.340000000000003</v>
      </c>
    </row>
    <row r="25" spans="1:2" x14ac:dyDescent="0.25">
      <c r="A25" s="4" t="s">
        <v>100</v>
      </c>
      <c r="B25" s="1">
        <v>30.27</v>
      </c>
    </row>
    <row r="26" spans="1:2" x14ac:dyDescent="0.25">
      <c r="A26" s="3" t="s">
        <v>16</v>
      </c>
      <c r="B26" s="1">
        <v>82</v>
      </c>
    </row>
    <row r="27" spans="1:2" x14ac:dyDescent="0.25">
      <c r="A27" s="4" t="s">
        <v>22</v>
      </c>
      <c r="B27" s="1">
        <v>82</v>
      </c>
    </row>
    <row r="28" spans="1:2" x14ac:dyDescent="0.25">
      <c r="A28" s="3" t="s">
        <v>26</v>
      </c>
      <c r="B28" s="1">
        <v>79.05</v>
      </c>
    </row>
    <row r="29" spans="1:2" x14ac:dyDescent="0.25">
      <c r="A29" s="4" t="s">
        <v>24</v>
      </c>
      <c r="B29" s="1">
        <v>79.05</v>
      </c>
    </row>
    <row r="30" spans="1:2" x14ac:dyDescent="0.25">
      <c r="A30" s="3" t="s">
        <v>30</v>
      </c>
      <c r="B30" s="1">
        <v>75</v>
      </c>
    </row>
    <row r="31" spans="1:2" x14ac:dyDescent="0.25">
      <c r="A31" s="4" t="s">
        <v>29</v>
      </c>
      <c r="B31" s="1">
        <v>75</v>
      </c>
    </row>
    <row r="32" spans="1:2" x14ac:dyDescent="0.25">
      <c r="A32" s="3" t="s">
        <v>66</v>
      </c>
      <c r="B32" s="1">
        <v>69.2</v>
      </c>
    </row>
    <row r="33" spans="1:2" x14ac:dyDescent="0.25">
      <c r="A33" s="4" t="s">
        <v>65</v>
      </c>
      <c r="B33" s="1">
        <v>43</v>
      </c>
    </row>
    <row r="34" spans="1:2" x14ac:dyDescent="0.25">
      <c r="A34" s="4" t="s">
        <v>141</v>
      </c>
      <c r="B34" s="1">
        <v>26.2</v>
      </c>
    </row>
    <row r="35" spans="1:2" x14ac:dyDescent="0.25">
      <c r="A35" s="3" t="s">
        <v>34</v>
      </c>
      <c r="B35" s="1">
        <v>64</v>
      </c>
    </row>
    <row r="36" spans="1:2" x14ac:dyDescent="0.25">
      <c r="A36" s="4" t="s">
        <v>33</v>
      </c>
      <c r="B36" s="1">
        <v>64</v>
      </c>
    </row>
    <row r="37" spans="1:2" x14ac:dyDescent="0.25">
      <c r="A37" s="3" t="s">
        <v>92</v>
      </c>
      <c r="B37" s="1">
        <v>63.3</v>
      </c>
    </row>
    <row r="38" spans="1:2" x14ac:dyDescent="0.25">
      <c r="A38" s="4" t="s">
        <v>90</v>
      </c>
      <c r="B38" s="1">
        <v>35</v>
      </c>
    </row>
    <row r="39" spans="1:2" x14ac:dyDescent="0.25">
      <c r="A39" s="4" t="s">
        <v>121</v>
      </c>
      <c r="B39" s="1">
        <v>28.3</v>
      </c>
    </row>
    <row r="40" spans="1:2" x14ac:dyDescent="0.25">
      <c r="A40" s="3" t="s">
        <v>38</v>
      </c>
      <c r="B40" s="1">
        <v>60</v>
      </c>
    </row>
    <row r="41" spans="1:2" x14ac:dyDescent="0.25">
      <c r="A41" s="4" t="s">
        <v>37</v>
      </c>
      <c r="B41" s="1">
        <v>60</v>
      </c>
    </row>
    <row r="42" spans="1:2" x14ac:dyDescent="0.25">
      <c r="A42" s="3" t="s">
        <v>42</v>
      </c>
      <c r="B42" s="1">
        <v>58</v>
      </c>
    </row>
    <row r="43" spans="1:2" x14ac:dyDescent="0.25">
      <c r="A43" s="4" t="s">
        <v>41</v>
      </c>
      <c r="B43" s="1">
        <v>58</v>
      </c>
    </row>
    <row r="44" spans="1:2" x14ac:dyDescent="0.25">
      <c r="A44" s="3" t="s">
        <v>45</v>
      </c>
      <c r="B44" s="1">
        <v>55</v>
      </c>
    </row>
    <row r="45" spans="1:2" x14ac:dyDescent="0.25">
      <c r="A45" s="4" t="s">
        <v>44</v>
      </c>
      <c r="B45" s="1">
        <v>55</v>
      </c>
    </row>
    <row r="46" spans="1:2" x14ac:dyDescent="0.25">
      <c r="A46" s="3" t="s">
        <v>48</v>
      </c>
      <c r="B46" s="1">
        <v>50</v>
      </c>
    </row>
    <row r="47" spans="1:2" x14ac:dyDescent="0.25">
      <c r="A47" s="4" t="s">
        <v>47</v>
      </c>
      <c r="B47" s="1">
        <v>50</v>
      </c>
    </row>
    <row r="48" spans="1:2" x14ac:dyDescent="0.25">
      <c r="A48" s="3" t="s">
        <v>70</v>
      </c>
      <c r="B48" s="1">
        <v>41</v>
      </c>
    </row>
    <row r="49" spans="1:2" x14ac:dyDescent="0.25">
      <c r="A49" s="4" t="s">
        <v>69</v>
      </c>
      <c r="B49" s="1">
        <v>41</v>
      </c>
    </row>
    <row r="50" spans="1:2" x14ac:dyDescent="0.25">
      <c r="A50" s="3" t="s">
        <v>72</v>
      </c>
      <c r="B50" s="1">
        <v>40</v>
      </c>
    </row>
    <row r="51" spans="1:2" x14ac:dyDescent="0.25">
      <c r="A51" s="4" t="s">
        <v>71</v>
      </c>
      <c r="B51" s="1">
        <v>40</v>
      </c>
    </row>
    <row r="52" spans="1:2" x14ac:dyDescent="0.25">
      <c r="A52" s="3" t="s">
        <v>84</v>
      </c>
      <c r="B52" s="1">
        <v>37.44</v>
      </c>
    </row>
    <row r="53" spans="1:2" x14ac:dyDescent="0.25">
      <c r="A53" s="4" t="s">
        <v>83</v>
      </c>
      <c r="B53" s="1">
        <v>37.44</v>
      </c>
    </row>
    <row r="54" spans="1:2" x14ac:dyDescent="0.25">
      <c r="A54" s="3" t="s">
        <v>105</v>
      </c>
      <c r="B54" s="1">
        <v>30</v>
      </c>
    </row>
    <row r="55" spans="1:2" x14ac:dyDescent="0.25">
      <c r="A55" s="4" t="s">
        <v>104</v>
      </c>
      <c r="B55" s="1">
        <v>30</v>
      </c>
    </row>
    <row r="56" spans="1:2" x14ac:dyDescent="0.25">
      <c r="A56" s="3" t="s">
        <v>118</v>
      </c>
      <c r="B56" s="1">
        <v>29.1</v>
      </c>
    </row>
    <row r="57" spans="1:2" x14ac:dyDescent="0.25">
      <c r="A57" s="4" t="s">
        <v>117</v>
      </c>
      <c r="B57" s="1">
        <v>29.1</v>
      </c>
    </row>
    <row r="58" spans="1:2" x14ac:dyDescent="0.25">
      <c r="A58" s="3" t="s">
        <v>127</v>
      </c>
      <c r="B58" s="1">
        <v>28</v>
      </c>
    </row>
    <row r="59" spans="1:2" x14ac:dyDescent="0.25">
      <c r="A59" s="4" t="s">
        <v>126</v>
      </c>
      <c r="B59" s="1">
        <v>28</v>
      </c>
    </row>
    <row r="60" spans="1:2" x14ac:dyDescent="0.25">
      <c r="A60" s="3" t="s">
        <v>132</v>
      </c>
      <c r="B60" s="1">
        <v>27</v>
      </c>
    </row>
    <row r="61" spans="1:2" x14ac:dyDescent="0.25">
      <c r="A61" s="4" t="s">
        <v>131</v>
      </c>
      <c r="B61" s="1">
        <v>27</v>
      </c>
    </row>
    <row r="62" spans="1:2" x14ac:dyDescent="0.25">
      <c r="A62" s="3" t="s">
        <v>135</v>
      </c>
      <c r="B62" s="1">
        <v>26.6</v>
      </c>
    </row>
    <row r="63" spans="1:2" x14ac:dyDescent="0.25">
      <c r="A63" s="4" t="s">
        <v>133</v>
      </c>
      <c r="B63" s="1">
        <v>26.6</v>
      </c>
    </row>
    <row r="64" spans="1:2" x14ac:dyDescent="0.25">
      <c r="A64" s="3" t="s">
        <v>140</v>
      </c>
      <c r="B64" s="1">
        <v>26.5</v>
      </c>
    </row>
    <row r="65" spans="1:2" x14ac:dyDescent="0.25">
      <c r="A65" s="4" t="s">
        <v>139</v>
      </c>
      <c r="B65" s="1">
        <v>26.5</v>
      </c>
    </row>
    <row r="66" spans="1:2" x14ac:dyDescent="0.25">
      <c r="A66" s="3" t="s">
        <v>144</v>
      </c>
      <c r="B66" s="1">
        <v>26.1</v>
      </c>
    </row>
    <row r="67" spans="1:2" x14ac:dyDescent="0.25">
      <c r="A67" s="4" t="s">
        <v>142</v>
      </c>
      <c r="B67" s="1">
        <v>26.1</v>
      </c>
    </row>
    <row r="68" spans="1:2" x14ac:dyDescent="0.25">
      <c r="A68" s="3" t="s">
        <v>153</v>
      </c>
      <c r="B68" s="1">
        <v>25.56</v>
      </c>
    </row>
    <row r="69" spans="1:2" x14ac:dyDescent="0.25">
      <c r="A69" s="4" t="s">
        <v>151</v>
      </c>
      <c r="B69" s="1">
        <v>25.56</v>
      </c>
    </row>
    <row r="70" spans="1:2" x14ac:dyDescent="0.25">
      <c r="A70" s="3" t="s">
        <v>159</v>
      </c>
      <c r="B70" s="1">
        <v>2180.4499999999998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3BE4-63E3-4BBE-A58A-1F6142C55B81}">
  <dimension ref="B1:C12"/>
  <sheetViews>
    <sheetView tabSelected="1" zoomScale="130" zoomScaleNormal="130" workbookViewId="0">
      <selection activeCell="B5" sqref="B5"/>
    </sheetView>
  </sheetViews>
  <sheetFormatPr defaultRowHeight="13.2" x14ac:dyDescent="0.25"/>
  <cols>
    <col min="2" max="2" width="31.88671875" bestFit="1" customWidth="1"/>
    <col min="3" max="3" width="20.44140625" bestFit="1" customWidth="1"/>
    <col min="4" max="4" width="27.6640625" bestFit="1" customWidth="1"/>
    <col min="5" max="5" width="21.33203125" bestFit="1" customWidth="1"/>
    <col min="6" max="6" width="8.109375" bestFit="1" customWidth="1"/>
    <col min="7" max="7" width="14.5546875" bestFit="1" customWidth="1"/>
    <col min="8" max="8" width="18" bestFit="1" customWidth="1"/>
    <col min="9" max="9" width="13.44140625" bestFit="1" customWidth="1"/>
    <col min="10" max="10" width="11.44140625" bestFit="1" customWidth="1"/>
    <col min="11" max="11" width="13.44140625" bestFit="1" customWidth="1"/>
    <col min="12" max="12" width="16.44140625" bestFit="1" customWidth="1"/>
    <col min="13" max="13" width="12.109375" bestFit="1" customWidth="1"/>
    <col min="14" max="14" width="26" bestFit="1" customWidth="1"/>
    <col min="15" max="15" width="16.44140625" bestFit="1" customWidth="1"/>
    <col min="16" max="16" width="14.5546875" bestFit="1" customWidth="1"/>
    <col min="17" max="17" width="12.44140625" bestFit="1" customWidth="1"/>
    <col min="18" max="18" width="13.33203125" bestFit="1" customWidth="1"/>
    <col min="19" max="19" width="33.88671875" bestFit="1" customWidth="1"/>
    <col min="20" max="20" width="13.33203125" bestFit="1" customWidth="1"/>
    <col min="21" max="22" width="14.5546875" bestFit="1" customWidth="1"/>
    <col min="23" max="23" width="16.77734375" bestFit="1" customWidth="1"/>
    <col min="24" max="24" width="13.6640625" bestFit="1" customWidth="1"/>
    <col min="25" max="25" width="8.77734375" bestFit="1" customWidth="1"/>
    <col min="26" max="26" width="15.5546875" bestFit="1" customWidth="1"/>
    <col min="27" max="27" width="14.5546875" bestFit="1" customWidth="1"/>
    <col min="28" max="28" width="8.77734375" bestFit="1" customWidth="1"/>
    <col min="29" max="29" width="11.33203125" bestFit="1" customWidth="1"/>
  </cols>
  <sheetData>
    <row r="1" spans="2:3" x14ac:dyDescent="0.25">
      <c r="B1" s="2" t="s">
        <v>157</v>
      </c>
      <c r="C1" t="s">
        <v>186</v>
      </c>
    </row>
    <row r="3" spans="2:3" x14ac:dyDescent="0.25">
      <c r="B3" s="2" t="s">
        <v>158</v>
      </c>
      <c r="C3" t="s">
        <v>160</v>
      </c>
    </row>
    <row r="4" spans="2:3" x14ac:dyDescent="0.25">
      <c r="B4" s="3" t="s">
        <v>11</v>
      </c>
      <c r="C4" s="1">
        <v>125</v>
      </c>
    </row>
    <row r="5" spans="2:3" x14ac:dyDescent="0.25">
      <c r="B5" s="4" t="s">
        <v>71</v>
      </c>
      <c r="C5" s="1">
        <v>40</v>
      </c>
    </row>
    <row r="6" spans="2:3" x14ac:dyDescent="0.25">
      <c r="B6" s="4" t="s">
        <v>104</v>
      </c>
      <c r="C6" s="1">
        <v>30</v>
      </c>
    </row>
    <row r="7" spans="2:3" x14ac:dyDescent="0.25">
      <c r="B7" s="4" t="s">
        <v>126</v>
      </c>
      <c r="C7" s="1">
        <v>28</v>
      </c>
    </row>
    <row r="8" spans="2:3" x14ac:dyDescent="0.25">
      <c r="B8" s="4" t="s">
        <v>131</v>
      </c>
      <c r="C8" s="1">
        <v>27</v>
      </c>
    </row>
    <row r="9" spans="2:3" x14ac:dyDescent="0.25">
      <c r="B9" s="3" t="s">
        <v>56</v>
      </c>
      <c r="C9" s="1">
        <v>77.400000000000006</v>
      </c>
    </row>
    <row r="10" spans="2:3" x14ac:dyDescent="0.25">
      <c r="B10" s="4" t="s">
        <v>55</v>
      </c>
      <c r="C10" s="1">
        <v>49.32</v>
      </c>
    </row>
    <row r="11" spans="2:3" x14ac:dyDescent="0.25">
      <c r="B11" s="4" t="s">
        <v>123</v>
      </c>
      <c r="C11" s="1">
        <v>28.08</v>
      </c>
    </row>
    <row r="12" spans="2:3" x14ac:dyDescent="0.25">
      <c r="B12" s="3" t="s">
        <v>159</v>
      </c>
      <c r="C12" s="1">
        <v>202.39999999999998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92CD-8309-43EC-8E19-52B57370F973}">
  <dimension ref="A1:B26"/>
  <sheetViews>
    <sheetView zoomScale="130" zoomScaleNormal="130" workbookViewId="0">
      <selection activeCell="F13" sqref="F13"/>
    </sheetView>
  </sheetViews>
  <sheetFormatPr defaultRowHeight="13.2" x14ac:dyDescent="0.25"/>
  <cols>
    <col min="1" max="1" width="13.33203125" bestFit="1" customWidth="1"/>
    <col min="2" max="2" width="20.44140625" bestFit="1" customWidth="1"/>
  </cols>
  <sheetData>
    <row r="1" spans="1:2" x14ac:dyDescent="0.25">
      <c r="A1" s="2" t="s">
        <v>158</v>
      </c>
      <c r="B1" t="s">
        <v>160</v>
      </c>
    </row>
    <row r="2" spans="1:2" x14ac:dyDescent="0.25">
      <c r="A2" s="3" t="s">
        <v>173</v>
      </c>
      <c r="B2" s="1">
        <v>440.5</v>
      </c>
    </row>
    <row r="3" spans="1:2" x14ac:dyDescent="0.25">
      <c r="A3" s="3" t="s">
        <v>174</v>
      </c>
      <c r="B3" s="1">
        <v>251.6</v>
      </c>
    </row>
    <row r="4" spans="1:2" x14ac:dyDescent="0.25">
      <c r="A4" s="3" t="s">
        <v>168</v>
      </c>
      <c r="B4" s="1">
        <v>192.78</v>
      </c>
    </row>
    <row r="5" spans="1:2" x14ac:dyDescent="0.25">
      <c r="A5" s="3" t="s">
        <v>179</v>
      </c>
      <c r="B5" s="1">
        <v>174.64</v>
      </c>
    </row>
    <row r="6" spans="1:2" x14ac:dyDescent="0.25">
      <c r="A6" s="3" t="s">
        <v>178</v>
      </c>
      <c r="B6" s="1">
        <v>140.61000000000001</v>
      </c>
    </row>
    <row r="7" spans="1:2" x14ac:dyDescent="0.25">
      <c r="A7" s="3" t="s">
        <v>177</v>
      </c>
      <c r="B7" s="1">
        <v>130.59</v>
      </c>
    </row>
    <row r="8" spans="1:2" x14ac:dyDescent="0.25">
      <c r="A8" s="3" t="s">
        <v>176</v>
      </c>
      <c r="B8" s="1">
        <v>103</v>
      </c>
    </row>
    <row r="9" spans="1:2" x14ac:dyDescent="0.25">
      <c r="A9" s="3" t="s">
        <v>175</v>
      </c>
      <c r="B9" s="1">
        <v>79.05</v>
      </c>
    </row>
    <row r="10" spans="1:2" x14ac:dyDescent="0.25">
      <c r="A10" s="3" t="s">
        <v>180</v>
      </c>
      <c r="B10" s="1">
        <v>68.08</v>
      </c>
    </row>
    <row r="11" spans="1:2" x14ac:dyDescent="0.25">
      <c r="A11" s="3" t="s">
        <v>171</v>
      </c>
      <c r="B11" s="1">
        <v>63.46</v>
      </c>
    </row>
    <row r="12" spans="1:2" x14ac:dyDescent="0.25">
      <c r="A12" s="3" t="s">
        <v>183</v>
      </c>
      <c r="B12" s="1">
        <v>58.08</v>
      </c>
    </row>
    <row r="13" spans="1:2" x14ac:dyDescent="0.25">
      <c r="A13" s="3" t="s">
        <v>163</v>
      </c>
      <c r="B13" s="1">
        <v>58</v>
      </c>
    </row>
    <row r="14" spans="1:2" x14ac:dyDescent="0.25">
      <c r="A14" s="3" t="s">
        <v>181</v>
      </c>
      <c r="B14" s="1">
        <v>49.32</v>
      </c>
    </row>
    <row r="15" spans="1:2" x14ac:dyDescent="0.25">
      <c r="A15" s="3" t="s">
        <v>165</v>
      </c>
      <c r="B15" s="1">
        <v>47.44</v>
      </c>
    </row>
    <row r="16" spans="1:2" x14ac:dyDescent="0.25">
      <c r="A16" s="3" t="s">
        <v>169</v>
      </c>
      <c r="B16" s="1">
        <v>43.8</v>
      </c>
    </row>
    <row r="17" spans="1:2" x14ac:dyDescent="0.25">
      <c r="A17" s="3" t="s">
        <v>184</v>
      </c>
      <c r="B17" s="1">
        <v>40</v>
      </c>
    </row>
    <row r="18" spans="1:2" x14ac:dyDescent="0.25">
      <c r="A18" s="3" t="s">
        <v>170</v>
      </c>
      <c r="B18" s="1">
        <v>37.380000000000003</v>
      </c>
    </row>
    <row r="19" spans="1:2" x14ac:dyDescent="0.25">
      <c r="A19" s="3" t="s">
        <v>164</v>
      </c>
      <c r="B19" s="1">
        <v>35</v>
      </c>
    </row>
    <row r="20" spans="1:2" x14ac:dyDescent="0.25">
      <c r="A20" s="3" t="s">
        <v>166</v>
      </c>
      <c r="B20" s="1">
        <v>30.12</v>
      </c>
    </row>
    <row r="21" spans="1:2" x14ac:dyDescent="0.25">
      <c r="A21" s="3" t="s">
        <v>162</v>
      </c>
      <c r="B21" s="1">
        <v>28.3</v>
      </c>
    </row>
    <row r="22" spans="1:2" x14ac:dyDescent="0.25">
      <c r="A22" s="3" t="s">
        <v>185</v>
      </c>
      <c r="B22" s="1">
        <v>28</v>
      </c>
    </row>
    <row r="23" spans="1:2" x14ac:dyDescent="0.25">
      <c r="A23" s="3" t="s">
        <v>167</v>
      </c>
      <c r="B23" s="1">
        <v>27.5</v>
      </c>
    </row>
    <row r="24" spans="1:2" x14ac:dyDescent="0.25">
      <c r="A24" s="3" t="s">
        <v>182</v>
      </c>
      <c r="B24" s="1">
        <v>27</v>
      </c>
    </row>
    <row r="25" spans="1:2" x14ac:dyDescent="0.25">
      <c r="A25" s="3" t="s">
        <v>172</v>
      </c>
      <c r="B25" s="1">
        <v>26.2</v>
      </c>
    </row>
    <row r="26" spans="1:2" x14ac:dyDescent="0.25">
      <c r="A26" s="3" t="s">
        <v>159</v>
      </c>
      <c r="B26" s="1">
        <v>2180.4499999999998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best_selling_video_games</vt:lpstr>
      <vt:lpstr>Cleaned Data</vt:lpstr>
      <vt:lpstr>Max Sales by Games</vt:lpstr>
      <vt:lpstr>Max Sales by Studio</vt:lpstr>
      <vt:lpstr>Games by Year</vt:lpstr>
      <vt:lpstr>Year of Max Gaming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Kashish Kumari</cp:lastModifiedBy>
  <cp:revision>0</cp:revision>
  <dcterms:modified xsi:type="dcterms:W3CDTF">2026-02-20T18:23:22Z</dcterms:modified>
  <dc:language>en-US</dc:language>
</cp:coreProperties>
</file>